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codeName="ThisWorkbook"/>
  <mc:AlternateContent xmlns:mc="http://schemas.openxmlformats.org/markup-compatibility/2006">
    <mc:Choice Requires="x15">
      <x15ac:absPath xmlns:x15ac="http://schemas.microsoft.com/office/spreadsheetml/2010/11/ac" url="/Users/mac/Downloads/"/>
    </mc:Choice>
  </mc:AlternateContent>
  <xr:revisionPtr revIDLastSave="0" documentId="13_ncr:1_{8129A02F-3976-8241-9DE7-0D5B5DD87D0F}" xr6:coauthVersionLast="47" xr6:coauthVersionMax="47" xr10:uidLastSave="{00000000-0000-0000-0000-000000000000}"/>
  <bookViews>
    <workbookView xWindow="0" yWindow="760" windowWidth="34560" windowHeight="20260" activeTab="2" xr2:uid="{00000000-000D-0000-FFFF-FFFF00000000}"/>
  </bookViews>
  <sheets>
    <sheet name="Shitje Kompjuterike" sheetId="1" r:id="rId1"/>
    <sheet name="Pivot table" sheetId="2" r:id="rId2"/>
    <sheet name="Dashboard" sheetId="3" r:id="rId3"/>
  </sheets>
  <definedNames>
    <definedName name="Slicer_Muaji">#N/A</definedName>
    <definedName name="Slicer_Produkti">#N/A</definedName>
    <definedName name="Slicer_Shteti">#N/A</definedName>
    <definedName name="Slicer_Shteti1">#N/A</definedName>
  </definedNames>
  <calcPr calcId="191029"/>
  <pivotCaches>
    <pivotCache cacheId="2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L61" i="1" l="1"/>
  <c r="L62"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H64" i="1"/>
  <c r="G64" i="1"/>
  <c r="I64" i="1" l="1"/>
</calcChain>
</file>

<file path=xl/sharedStrings.xml><?xml version="1.0" encoding="utf-8"?>
<sst xmlns="http://schemas.openxmlformats.org/spreadsheetml/2006/main" count="343" uniqueCount="65">
  <si>
    <t>Muaji</t>
  </si>
  <si>
    <t>Shitësi</t>
  </si>
  <si>
    <t>Kategoria</t>
  </si>
  <si>
    <t>Produkti</t>
  </si>
  <si>
    <t>Sasia</t>
  </si>
  <si>
    <t>Shitjet (€)</t>
  </si>
  <si>
    <t>Fitimi (€)</t>
  </si>
  <si>
    <t>Nëntor</t>
  </si>
  <si>
    <t>Drita Hoxha</t>
  </si>
  <si>
    <t>Aksesorë</t>
  </si>
  <si>
    <t>Lenovo ThinkPad</t>
  </si>
  <si>
    <t>Drenas</t>
  </si>
  <si>
    <t>Janar</t>
  </si>
  <si>
    <t>Valon Bytyqi</t>
  </si>
  <si>
    <t>Prishtinë</t>
  </si>
  <si>
    <t>Shtator</t>
  </si>
  <si>
    <t>Luan Berisha</t>
  </si>
  <si>
    <t>Laptopë</t>
  </si>
  <si>
    <t>Logitech Mouse</t>
  </si>
  <si>
    <t>Mitrovicë</t>
  </si>
  <si>
    <t>Korrik</t>
  </si>
  <si>
    <t>Elira Kelmendi</t>
  </si>
  <si>
    <t>Desktop</t>
  </si>
  <si>
    <t>Samsung Monitor</t>
  </si>
  <si>
    <t>Ferizaj</t>
  </si>
  <si>
    <t>Arben Krasniqi</t>
  </si>
  <si>
    <t>Prizren</t>
  </si>
  <si>
    <t>Shkurt</t>
  </si>
  <si>
    <t>Besnik Thaçi</t>
  </si>
  <si>
    <t>Asus ROG</t>
  </si>
  <si>
    <t>Monitorë</t>
  </si>
  <si>
    <t>MSI Gaming</t>
  </si>
  <si>
    <t>Istog</t>
  </si>
  <si>
    <t>Dhjetor</t>
  </si>
  <si>
    <t>Mira Gashi</t>
  </si>
  <si>
    <t>Acer Aspire</t>
  </si>
  <si>
    <t>Maj</t>
  </si>
  <si>
    <t>Pajisje Gaming</t>
  </si>
  <si>
    <t>Suharekë</t>
  </si>
  <si>
    <t>Prill</t>
  </si>
  <si>
    <t>Shpresa Morina</t>
  </si>
  <si>
    <t>Rahovec</t>
  </si>
  <si>
    <t>Lipjan</t>
  </si>
  <si>
    <t>Dell Inspiron</t>
  </si>
  <si>
    <t>Gjilan</t>
  </si>
  <si>
    <t>Mars</t>
  </si>
  <si>
    <t>Gusht</t>
  </si>
  <si>
    <t>HP Pavilion</t>
  </si>
  <si>
    <t>Tetor</t>
  </si>
  <si>
    <t>Gjakovë</t>
  </si>
  <si>
    <t>Qershor</t>
  </si>
  <si>
    <t>Podujevë</t>
  </si>
  <si>
    <t>Vushtrri</t>
  </si>
  <si>
    <t>Malishevë</t>
  </si>
  <si>
    <t>Row Labels</t>
  </si>
  <si>
    <t>Grand Total</t>
  </si>
  <si>
    <t>Sum of Shitjet (€)</t>
  </si>
  <si>
    <t>Sum of Fitimi (€)</t>
  </si>
  <si>
    <t>Nentor</t>
  </si>
  <si>
    <t>Count of Produkti</t>
  </si>
  <si>
    <t>Sum of Sasia</t>
  </si>
  <si>
    <t>Margin %</t>
  </si>
  <si>
    <t>Qyteti</t>
  </si>
  <si>
    <t>Shitjet</t>
  </si>
  <si>
    <t>Fitimi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</si>
</sst>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2]\ * #,##0.00_);_([$€-2]\ * \(#,##0.00\);_([$€-2]\ * &quot;-&quot;??_);_(@_)"/>
    <numFmt numFmtId="165" formatCode="_([$€-2]\ * #,##0.0_);_([$€-2]\ * \(#,##0.0\);_([$€-2]\ * &quot;-&quot;??_);_(@_)"/>
  </numFmts>
  <fonts count="5" x14ac:knownFonts="1">
    <font>
      <sz val="11"/>
      <color theme="1"/>
      <name val="Calibri"/>
      <family val="2"/>
      <scheme val="minor"/>
    </font>
    <font>
      <sz val="12"/>
      <color theme="1"/>
      <name val="Calibri"/>
      <family val="2"/>
      <scheme val="minor"/>
    </font>
    <font>
      <sz val="12"/>
      <color rgb="FF006100"/>
      <name val="Calibri"/>
      <family val="2"/>
      <scheme val="minor"/>
    </font>
    <font>
      <b/>
      <sz val="11"/>
      <color theme="1"/>
      <name val="Calibri"/>
      <family val="2"/>
      <scheme val="minor"/>
    </font>
    <font>
      <b/>
      <sz val="12"/>
      <color rgb="FF006100"/>
      <name val="Calibri"/>
      <family val="2"/>
      <scheme val="minor"/>
    </font>
  </fonts>
  <fills count="5">
    <fill>
      <patternFill patternType="none"/>
    </fill>
    <fill>
      <patternFill patternType="gray125"/>
    </fill>
    <fill>
      <patternFill patternType="solid">
        <fgColor rgb="FFC6EFCE"/>
      </patternFill>
    </fill>
    <fill>
      <patternFill patternType="solid">
        <fgColor theme="4" tint="0.79998168889431442"/>
        <bgColor indexed="65"/>
      </patternFill>
    </fill>
    <fill>
      <patternFill patternType="solid">
        <fgColor theme="0" tint="-0.14999847407452621"/>
        <bgColor indexed="64"/>
      </patternFill>
    </fill>
  </fills>
  <borders count="2">
    <border>
      <left/>
      <right/>
      <top/>
      <bottom/>
      <diagonal/>
    </border>
    <border>
      <left/>
      <right/>
      <top style="double">
        <color theme="6"/>
      </top>
      <bottom style="thin">
        <color theme="6"/>
      </bottom>
      <diagonal/>
    </border>
  </borders>
  <cellStyleXfs count="3">
    <xf numFmtId="0" fontId="0" fillId="0" borderId="0"/>
    <xf numFmtId="0" fontId="2" fillId="2" borderId="0" applyNumberFormat="0" applyBorder="0" applyAlignment="0" applyProtection="0"/>
    <xf numFmtId="0" fontId="1" fillId="3" borderId="0" applyNumberFormat="0" applyBorder="0" applyAlignment="0" applyProtection="0"/>
  </cellStyleXfs>
  <cellXfs count="14">
    <xf numFmtId="0" fontId="0" fillId="0" borderId="0" xfId="0"/>
    <xf numFmtId="164" fontId="0" fillId="0" borderId="0" xfId="0" applyNumberForma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3" fillId="3" borderId="0" xfId="2" applyFont="1"/>
    <xf numFmtId="10" fontId="1" fillId="3" borderId="0" xfId="2" applyNumberFormat="1"/>
    <xf numFmtId="165" fontId="3" fillId="0" borderId="1" xfId="0" applyNumberFormat="1" applyFont="1" applyBorder="1"/>
    <xf numFmtId="0" fontId="0" fillId="4" borderId="0" xfId="0" applyFill="1"/>
    <xf numFmtId="0" fontId="3" fillId="0" borderId="0" xfId="0" applyFont="1"/>
    <xf numFmtId="165" fontId="4" fillId="2" borderId="0" xfId="1" applyNumberFormat="1" applyFont="1"/>
    <xf numFmtId="10" fontId="4" fillId="2" borderId="0" xfId="1" applyNumberFormat="1" applyFont="1"/>
  </cellXfs>
  <cellStyles count="3">
    <cellStyle name="20% - Accent1" xfId="2" builtinId="30"/>
    <cellStyle name="Good" xfId="1" builtinId="26"/>
    <cellStyle name="Normal" xfId="0" builtinId="0"/>
  </cellStyles>
  <dxfs count="38">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
      <font>
        <b/>
      </font>
      <numFmt numFmtId="14" formatCode="0.00%"/>
    </dxf>
    <dxf>
      <font>
        <b/>
      </font>
      <numFmt numFmtId="165" formatCode="_([$€-2]\ * #,##0.0_);_([$€-2]\ * \(#,##0.0\);_([$€-2]\ * &quot;-&quot;??_);_(@_)"/>
    </dxf>
    <dxf>
      <font>
        <b/>
      </font>
      <numFmt numFmtId="165" formatCode="_([$€-2]\ * #,##0.0_);_([$€-2]\ * \(#,##0.0\);_([$€-2]\ * &quot;-&quot;??_);_(@_)"/>
    </dxf>
    <dxf>
      <numFmt numFmtId="14" formatCode="0.00%"/>
    </dxf>
    <dxf>
      <numFmt numFmtId="165" formatCode="_([$€-2]\ * #,##0.0_);_([$€-2]\ * \(#,##0.0\);_([$€-2]\ * &quot;-&quot;??_);_(@_)"/>
    </dxf>
    <dxf>
      <numFmt numFmtId="165" formatCode="_([$€-2]\ * #,##0.0_);_([$€-2]\ * \(#,##0.0\);_([$€-2]\ * &quot;-&quot;??_);_(@_)"/>
    </dxf>
    <dxf>
      <numFmt numFmtId="164" formatCode="_([$€-2]\ * #,##0.00_);_([$€-2]\ * \(#,##0.00\);_([$€-2]\ * &quot;-&quot;??_);_(@_)"/>
    </dxf>
    <dxf>
      <numFmt numFmtId="164" formatCode="_([$€-2]\ * #,##0.00_);_([$€-2]\ * \(#,##0.00\);_([$€-2]\ * &quot;-&quot;??_);_(@_)"/>
    </dxf>
    <dxf>
      <numFmt numFmtId="164" formatCode="_([$€-2]\ * #,##0.00_);_([$€-2]\ * \(#,##0.00\);_([$€-2]\ * &quot;-&quot;??_);_(@_)"/>
    </dxf>
    <dxf>
      <numFmt numFmtId="164" formatCode="_([$€-2]\ * #,##0.00_);_([$€-2]\ * \(#,##0.00\);_([$€-2]\ *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2-77BA-9C4F-A5FA-B0597A0E2B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77BA-9C4F-A5FA-B0597A0E2B65}"/>
              </c:ext>
            </c:extLst>
          </c:dPt>
          <c:dLbls>
            <c:dLbl>
              <c:idx val="0"/>
              <c:layout>
                <c:manualLayout>
                  <c:x val="-0.10341557305336833"/>
                  <c:y val="-0.173857903178769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BA-9C4F-A5FA-B0597A0E2B65}"/>
                </c:ext>
              </c:extLst>
            </c:dLbl>
            <c:dLbl>
              <c:idx val="1"/>
              <c:layout>
                <c:manualLayout>
                  <c:x val="7.2860017497812776E-2"/>
                  <c:y val="0.136820866141732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BA-9C4F-A5FA-B0597A0E2B65}"/>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'Shitje Kompjuterike'!$M$61:$M$62</c:f>
              <c:strCache>
                <c:ptCount val="2"/>
                <c:pt idx="0">
                  <c:v>Shitjet</c:v>
                </c:pt>
                <c:pt idx="1">
                  <c:v>Fitimi</c:v>
                </c:pt>
              </c:strCache>
            </c:strRef>
          </c:cat>
          <c:val>
            <c:numRef>
              <c:f>'Shitje Kompjuterike'!$N$61:$N$62</c:f>
              <c:numCache>
                <c:formatCode>0.00%</c:formatCode>
                <c:ptCount val="2"/>
                <c:pt idx="0">
                  <c:v>0.82069999999999999</c:v>
                </c:pt>
                <c:pt idx="1">
                  <c:v>0.17929999999999999</c:v>
                </c:pt>
              </c:numCache>
            </c:numRef>
          </c:val>
          <c:extLst>
            <c:ext xmlns:c16="http://schemas.microsoft.com/office/drawing/2014/chart" uri="{C3380CC4-5D6E-409C-BE32-E72D297353CC}">
              <c16:uniqueId val="{00000000-77BA-9C4F-A5FA-B0597A0E2B6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[Dataset_Shitje_Kompjuterike_55_Rreshta_V2.xlsx]Pivot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Shitjet e produkteve ne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8105726872246704E-3"/>
              <c:y val="5.1446945337620578E-2"/>
            </c:manualLayout>
          </c:layout>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fld id="{0E8D7F19-C895-E544-A6C0-77BEE9BB7412}" type="CATEGORYNAME">
                  <a:rPr lang="en-US"/>
                  <a:pPr>
                    <a:defRPr sz="1400"/>
                  </a:pPr>
                  <a:t>[CATEGORY NAME]</a:t>
                </a:fld>
                <a:r>
                  <a:rPr lang="en-US" baseline="0"/>
                  <a:t> (</a:t>
                </a:r>
                <a:fld id="{04805B8C-77CB-9F40-815F-46F1AD33FE74}" type="VALUE">
                  <a:rPr lang="en-US" baseline="0"/>
                  <a:pPr>
                    <a:defRPr sz="1400"/>
                  </a:pPr>
                  <a:t>[VALUE]</a:t>
                </a:fld>
                <a:r>
                  <a:rPr lang="en-US" baseline="0"/>
                  <a:t>), </a:t>
                </a:r>
                <a:fld id="{0EEBB516-8357-6D45-A11A-5C9E434F8AD4}" type="PERCENTAGE">
                  <a:rPr lang="en-US" baseline="0"/>
                  <a:pPr>
                    <a:defRPr sz="1400"/>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3"/>
        <c:spPr>
          <a:solidFill>
            <a:schemeClr val="accent4"/>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fld id="{CB8C5737-6EB7-3F46-B75D-B6E2CC4A31E3}" type="CATEGORYNAME">
                  <a:rPr lang="en-US"/>
                  <a:pPr>
                    <a:defRPr sz="1400"/>
                  </a:pPr>
                  <a:t>[CATEGORY NAME]</a:t>
                </a:fld>
                <a:r>
                  <a:rPr lang="en-US" baseline="0"/>
                  <a:t> (</a:t>
                </a:r>
                <a:fld id="{E3E1B6A0-36CD-8C45-9531-265517AF97F6}" type="VALUE">
                  <a:rPr lang="en-US" baseline="0"/>
                  <a:pPr>
                    <a:defRPr sz="1400"/>
                  </a:pPr>
                  <a:t>[VALUE]</a:t>
                </a:fld>
                <a:r>
                  <a:rPr lang="en-US" baseline="0"/>
                  <a:t>), </a:t>
                </a:r>
                <a:fld id="{5B172AE5-289A-F648-8536-7A633B1FA455}" type="PERCENTAGE">
                  <a:rPr lang="en-US" baseline="0"/>
                  <a:pPr>
                    <a:defRPr sz="1400"/>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15:layout>
                <c:manualLayout>
                  <c:w val="0.26378091505081691"/>
                  <c:h val="0.1861236342026715"/>
                </c:manualLayout>
              </c15:layout>
              <c15:dlblFieldTable/>
              <c15:showDataLabelsRange val="0"/>
            </c:ext>
          </c:extLst>
        </c:dLbl>
      </c:pivotFmt>
      <c:pivotFmt>
        <c:idx val="4"/>
        <c:spPr>
          <a:solidFill>
            <a:schemeClr val="accent5"/>
          </a:solidFill>
          <a:ln w="19050">
            <a:solidFill>
              <a:schemeClr val="lt1"/>
            </a:solidFill>
          </a:ln>
          <a:effectLst/>
        </c:spPr>
        <c:dLbl>
          <c:idx val="0"/>
          <c:layout>
            <c:manualLayout>
              <c:x val="-6.6493981754483331E-2"/>
              <c:y val="9.3247715016330349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CB5327BB-5CFF-0443-93B8-F64DCD762889}" type="CATEGORYNAME">
                  <a:rPr lang="en-US"/>
                  <a:pPr>
                    <a:defRPr sz="1400"/>
                  </a:pPr>
                  <a:t>[CATEGORY NAME]</a:t>
                </a:fld>
                <a:r>
                  <a:rPr lang="en-US" baseline="0"/>
                  <a:t> (</a:t>
                </a:r>
                <a:fld id="{EEFCD777-B510-6747-9B09-A73B78FDD36D}" type="VALUE">
                  <a:rPr lang="en-US" baseline="0"/>
                  <a:pPr>
                    <a:defRPr sz="1400"/>
                  </a:pPr>
                  <a:t>[VALUE]</a:t>
                </a:fld>
                <a:r>
                  <a:rPr lang="en-US" baseline="0"/>
                  <a:t>), </a:t>
                </a:r>
                <a:fld id="{03340BB9-2B69-D447-8DCC-928AF1413B2C}" type="PERCENTAGE">
                  <a:rPr lang="en-US" baseline="0"/>
                  <a:pPr>
                    <a:defRPr sz="1400"/>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layout>
                <c:manualLayout>
                  <c:w val="0.19443078150473481"/>
                  <c:h val="0.16524871355060033"/>
                </c:manualLayout>
              </c15:layout>
              <c15:dlblFieldTable/>
              <c15:showDataLabelsRange val="0"/>
            </c:ext>
          </c:extLst>
        </c:dLbl>
      </c:pivotFmt>
      <c:pivotFmt>
        <c:idx val="5"/>
        <c:spPr>
          <a:solidFill>
            <a:schemeClr val="accent3"/>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fld id="{100019D2-610F-624C-A1FA-B218C54DEDA2}" type="CATEGORYNAME">
                  <a:rPr lang="en-US"/>
                  <a:pPr>
                    <a:defRPr sz="1400"/>
                  </a:pPr>
                  <a:t>[CATEGORY NAME]</a:t>
                </a:fld>
                <a:r>
                  <a:rPr lang="en-US" baseline="0"/>
                  <a:t> (</a:t>
                </a:r>
                <a:fld id="{89111E4B-76E2-AB42-832D-5A2444270726}" type="VALUE">
                  <a:rPr lang="en-US" baseline="0"/>
                  <a:pPr>
                    <a:defRPr sz="1400"/>
                  </a:pPr>
                  <a:t>[VALUE]</a:t>
                </a:fld>
                <a:r>
                  <a:rPr lang="en-US" baseline="0"/>
                  <a:t>), </a:t>
                </a:r>
                <a:fld id="{8431B3A0-2751-F048-9060-56C00D8C05EF}" type="PERCENTAGE">
                  <a:rPr lang="en-US" baseline="0"/>
                  <a:pPr>
                    <a:defRPr sz="1400"/>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6"/>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fld id="{C38C6053-6A06-D342-B229-03312B362400}" type="CATEGORYNAME">
                  <a:rPr lang="en-US"/>
                  <a:pPr>
                    <a:defRPr sz="1400"/>
                  </a:pPr>
                  <a:t>[CATEGORY NAME]</a:t>
                </a:fld>
                <a:r>
                  <a:rPr lang="en-US" baseline="0"/>
                  <a:t> (</a:t>
                </a:r>
                <a:fld id="{AD9E6459-1A51-D248-A50E-88A08378CB56}" type="VALUE">
                  <a:rPr lang="en-US" baseline="0"/>
                  <a:pPr>
                    <a:defRPr sz="1400"/>
                  </a:pPr>
                  <a:t>[VALUE]</a:t>
                </a:fld>
                <a:r>
                  <a:rPr lang="en-US" baseline="0"/>
                  <a:t>), </a:t>
                </a:r>
                <a:fld id="{47A88F8C-2F1A-A94F-99A5-1BB346D2586E}" type="PERCENTAGE">
                  <a:rPr lang="en-US" baseline="0"/>
                  <a:pPr>
                    <a:defRPr sz="1400"/>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table'!$M$2</c:f>
              <c:strCache>
                <c:ptCount val="1"/>
                <c:pt idx="0">
                  <c:v>Count of Produkti</c:v>
                </c:pt>
              </c:strCache>
            </c:strRef>
          </c:tx>
          <c:dPt>
            <c:idx val="0"/>
            <c:bubble3D val="0"/>
            <c:explosion val="8"/>
            <c:spPr>
              <a:solidFill>
                <a:schemeClr val="accent1"/>
              </a:solidFill>
              <a:ln w="19050">
                <a:solidFill>
                  <a:schemeClr val="lt1"/>
                </a:solidFill>
              </a:ln>
              <a:effectLst/>
            </c:spPr>
            <c:extLst>
              <c:ext xmlns:c16="http://schemas.microsoft.com/office/drawing/2014/chart" uri="{C3380CC4-5D6E-409C-BE32-E72D297353CC}">
                <c16:uniqueId val="{00000003-221A-CD4C-88F5-E34572768CE5}"/>
              </c:ext>
            </c:extLst>
          </c:dPt>
          <c:dPt>
            <c:idx val="1"/>
            <c:bubble3D val="0"/>
            <c:explosion val="4"/>
            <c:spPr>
              <a:solidFill>
                <a:schemeClr val="accent2"/>
              </a:solidFill>
              <a:ln w="19050">
                <a:solidFill>
                  <a:schemeClr val="lt1"/>
                </a:solidFill>
              </a:ln>
              <a:effectLst/>
            </c:spPr>
            <c:extLst>
              <c:ext xmlns:c16="http://schemas.microsoft.com/office/drawing/2014/chart" uri="{C3380CC4-5D6E-409C-BE32-E72D297353CC}">
                <c16:uniqueId val="{00000007-221A-CD4C-88F5-E34572768CE5}"/>
              </c:ext>
            </c:extLst>
          </c:dPt>
          <c:dPt>
            <c:idx val="2"/>
            <c:bubble3D val="0"/>
            <c:explosion val="3"/>
            <c:spPr>
              <a:solidFill>
                <a:schemeClr val="accent3"/>
              </a:solidFill>
              <a:ln w="19050">
                <a:solidFill>
                  <a:schemeClr val="lt1"/>
                </a:solidFill>
              </a:ln>
              <a:effectLst/>
            </c:spPr>
            <c:extLst>
              <c:ext xmlns:c16="http://schemas.microsoft.com/office/drawing/2014/chart" uri="{C3380CC4-5D6E-409C-BE32-E72D297353CC}">
                <c16:uniqueId val="{00000006-221A-CD4C-88F5-E34572768CE5}"/>
              </c:ext>
            </c:extLst>
          </c:dPt>
          <c:dPt>
            <c:idx val="3"/>
            <c:bubble3D val="0"/>
            <c:explosion val="3"/>
            <c:spPr>
              <a:solidFill>
                <a:schemeClr val="accent4"/>
              </a:solidFill>
              <a:ln w="19050">
                <a:solidFill>
                  <a:schemeClr val="lt1"/>
                </a:solidFill>
              </a:ln>
              <a:effectLst/>
            </c:spPr>
            <c:extLst>
              <c:ext xmlns:c16="http://schemas.microsoft.com/office/drawing/2014/chart" uri="{C3380CC4-5D6E-409C-BE32-E72D297353CC}">
                <c16:uniqueId val="{00000004-221A-CD4C-88F5-E34572768CE5}"/>
              </c:ext>
            </c:extLst>
          </c:dPt>
          <c:dPt>
            <c:idx val="4"/>
            <c:bubble3D val="0"/>
            <c:explosion val="4"/>
            <c:spPr>
              <a:solidFill>
                <a:schemeClr val="accent5"/>
              </a:solidFill>
              <a:ln w="19050">
                <a:solidFill>
                  <a:schemeClr val="lt1"/>
                </a:solidFill>
              </a:ln>
              <a:effectLst/>
            </c:spPr>
            <c:extLst>
              <c:ext xmlns:c16="http://schemas.microsoft.com/office/drawing/2014/chart" uri="{C3380CC4-5D6E-409C-BE32-E72D297353CC}">
                <c16:uniqueId val="{00000005-221A-CD4C-88F5-E34572768CE5}"/>
              </c:ext>
            </c:extLst>
          </c:dPt>
          <c:dLbls>
            <c:dLbl>
              <c:idx val="0"/>
              <c:layout>
                <c:manualLayout>
                  <c:x val="8.8105726872246704E-3"/>
                  <c:y val="5.1446945337620578E-2"/>
                </c:manualLayout>
              </c:layout>
              <c:tx>
                <c:rich>
                  <a:bodyPr/>
                  <a:lstStyle/>
                  <a:p>
                    <a:fld id="{0E8D7F19-C895-E544-A6C0-77BEE9BB7412}" type="CATEGORYNAME">
                      <a:rPr lang="en-US"/>
                      <a:pPr/>
                      <a:t>[CATEGORY NAME]</a:t>
                    </a:fld>
                    <a:r>
                      <a:rPr lang="en-US" baseline="0"/>
                      <a:t> (</a:t>
                    </a:r>
                    <a:fld id="{04805B8C-77CB-9F40-815F-46F1AD33FE74}" type="VALUE">
                      <a:rPr lang="en-US" baseline="0"/>
                      <a:pPr/>
                      <a:t>[VALUE]</a:t>
                    </a:fld>
                    <a:r>
                      <a:rPr lang="en-US" baseline="0"/>
                      <a:t>), </a:t>
                    </a:r>
                    <a:fld id="{0EEBB516-8357-6D45-A11A-5C9E434F8AD4}" type="PERCENTAGE">
                      <a:rPr lang="en-US" baseline="0"/>
                      <a:pPr/>
                      <a:t>[PERCENTAGE]</a:t>
                    </a:fld>
                    <a:endParaRPr lang="en-US" baseline="0"/>
                  </a:p>
                </c:rich>
              </c:tx>
              <c:dLblPos val="bestFit"/>
              <c:showLegendKey val="1"/>
              <c:showVal val="1"/>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221A-CD4C-88F5-E34572768CE5}"/>
                </c:ext>
              </c:extLst>
            </c:dLbl>
            <c:dLbl>
              <c:idx val="1"/>
              <c:tx>
                <c:rich>
                  <a:bodyPr/>
                  <a:lstStyle/>
                  <a:p>
                    <a:fld id="{C38C6053-6A06-D342-B229-03312B362400}" type="CATEGORYNAME">
                      <a:rPr lang="en-US"/>
                      <a:pPr/>
                      <a:t>[CATEGORY NAME]</a:t>
                    </a:fld>
                    <a:r>
                      <a:rPr lang="en-US" baseline="0"/>
                      <a:t> (</a:t>
                    </a:r>
                    <a:fld id="{AD9E6459-1A51-D248-A50E-88A08378CB56}" type="VALUE">
                      <a:rPr lang="en-US" baseline="0"/>
                      <a:pPr/>
                      <a:t>[VALUE]</a:t>
                    </a:fld>
                    <a:r>
                      <a:rPr lang="en-US" baseline="0"/>
                      <a:t>), </a:t>
                    </a:r>
                    <a:fld id="{47A88F8C-2F1A-A94F-99A5-1BB346D2586E}" type="PERCENTAGE">
                      <a:rPr lang="en-US" baseline="0"/>
                      <a:pPr/>
                      <a:t>[PERCENTAGE]</a:t>
                    </a:fld>
                    <a:endParaRPr lang="en-US" baseline="0"/>
                  </a:p>
                </c:rich>
              </c:tx>
              <c:dLblPos val="outEnd"/>
              <c:showLegendKey val="1"/>
              <c:showVal val="1"/>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7-221A-CD4C-88F5-E34572768CE5}"/>
                </c:ext>
              </c:extLst>
            </c:dLbl>
            <c:dLbl>
              <c:idx val="2"/>
              <c:tx>
                <c:rich>
                  <a:bodyPr/>
                  <a:lstStyle/>
                  <a:p>
                    <a:fld id="{100019D2-610F-624C-A1FA-B218C54DEDA2}" type="CATEGORYNAME">
                      <a:rPr lang="en-US"/>
                      <a:pPr/>
                      <a:t>[CATEGORY NAME]</a:t>
                    </a:fld>
                    <a:r>
                      <a:rPr lang="en-US" baseline="0"/>
                      <a:t> (</a:t>
                    </a:r>
                    <a:fld id="{89111E4B-76E2-AB42-832D-5A2444270726}" type="VALUE">
                      <a:rPr lang="en-US" baseline="0"/>
                      <a:pPr/>
                      <a:t>[VALUE]</a:t>
                    </a:fld>
                    <a:r>
                      <a:rPr lang="en-US" baseline="0"/>
                      <a:t>), </a:t>
                    </a:r>
                    <a:fld id="{8431B3A0-2751-F048-9060-56C00D8C05EF}" type="PERCENTAGE">
                      <a:rPr lang="en-US" baseline="0"/>
                      <a:pPr/>
                      <a:t>[PERCENTAGE]</a:t>
                    </a:fld>
                    <a:endParaRPr lang="en-US" baseline="0"/>
                  </a:p>
                </c:rich>
              </c:tx>
              <c:dLblPos val="outEnd"/>
              <c:showLegendKey val="1"/>
              <c:showVal val="1"/>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6-221A-CD4C-88F5-E34572768CE5}"/>
                </c:ext>
              </c:extLst>
            </c:dLbl>
            <c:dLbl>
              <c:idx val="3"/>
              <c:tx>
                <c:rich>
                  <a:bodyPr/>
                  <a:lstStyle/>
                  <a:p>
                    <a:fld id="{CB8C5737-6EB7-3F46-B75D-B6E2CC4A31E3}" type="CATEGORYNAME">
                      <a:rPr lang="en-US"/>
                      <a:pPr/>
                      <a:t>[CATEGORY NAME]</a:t>
                    </a:fld>
                    <a:r>
                      <a:rPr lang="en-US" baseline="0"/>
                      <a:t> (</a:t>
                    </a:r>
                    <a:fld id="{E3E1B6A0-36CD-8C45-9531-265517AF97F6}" type="VALUE">
                      <a:rPr lang="en-US" baseline="0"/>
                      <a:pPr/>
                      <a:t>[VALUE]</a:t>
                    </a:fld>
                    <a:r>
                      <a:rPr lang="en-US" baseline="0"/>
                      <a:t>), </a:t>
                    </a:r>
                    <a:fld id="{5B172AE5-289A-F648-8536-7A633B1FA455}" type="PERCENTAGE">
                      <a:rPr lang="en-US" baseline="0"/>
                      <a:pPr/>
                      <a:t>[PERCENTAGE]</a:t>
                    </a:fld>
                    <a:endParaRPr lang="en-US" baseline="0"/>
                  </a:p>
                </c:rich>
              </c:tx>
              <c:dLblPos val="outEnd"/>
              <c:showLegendKey val="1"/>
              <c:showVal val="1"/>
              <c:showCatName val="1"/>
              <c:showSerName val="0"/>
              <c:showPercent val="1"/>
              <c:showBubbleSize val="0"/>
              <c:separator>, </c:separator>
              <c:extLst>
                <c:ext xmlns:c15="http://schemas.microsoft.com/office/drawing/2012/chart" uri="{CE6537A1-D6FC-4f65-9D91-7224C49458BB}">
                  <c15:layout>
                    <c:manualLayout>
                      <c:w val="0.26378091505081691"/>
                      <c:h val="0.1861236342026715"/>
                    </c:manualLayout>
                  </c15:layout>
                  <c15:dlblFieldTable/>
                  <c15:showDataLabelsRange val="0"/>
                </c:ext>
                <c:ext xmlns:c16="http://schemas.microsoft.com/office/drawing/2014/chart" uri="{C3380CC4-5D6E-409C-BE32-E72D297353CC}">
                  <c16:uniqueId val="{00000004-221A-CD4C-88F5-E34572768CE5}"/>
                </c:ext>
              </c:extLst>
            </c:dLbl>
            <c:dLbl>
              <c:idx val="4"/>
              <c:layout>
                <c:manualLayout>
                  <c:x val="-6.6493981754483331E-2"/>
                  <c:y val="9.3247715016330349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CB5327BB-5CFF-0443-93B8-F64DCD762889}" type="CATEGORYNAME">
                      <a:rPr lang="en-US"/>
                      <a:pPr>
                        <a:defRPr sz="1400"/>
                      </a:pPr>
                      <a:t>[CATEGORY NAME]</a:t>
                    </a:fld>
                    <a:r>
                      <a:rPr lang="en-US" baseline="0"/>
                      <a:t> (</a:t>
                    </a:r>
                    <a:fld id="{EEFCD777-B510-6747-9B09-A73B78FDD36D}" type="VALUE">
                      <a:rPr lang="en-US" baseline="0"/>
                      <a:pPr>
                        <a:defRPr sz="1400"/>
                      </a:pPr>
                      <a:t>[VALUE]</a:t>
                    </a:fld>
                    <a:r>
                      <a:rPr lang="en-US" baseline="0"/>
                      <a:t>), </a:t>
                    </a:r>
                    <a:fld id="{03340BB9-2B69-D447-8DCC-928AF1413B2C}" type="PERCENTAGE">
                      <a:rPr lang="en-US" baseline="0"/>
                      <a:pPr>
                        <a:defRPr sz="1400"/>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layout>
                    <c:manualLayout>
                      <c:w val="0.19443078150473481"/>
                      <c:h val="0.16524871355060033"/>
                    </c:manualLayout>
                  </c15:layout>
                  <c15:dlblFieldTable/>
                  <c15:showDataLabelsRange val="0"/>
                </c:ext>
                <c:ext xmlns:c16="http://schemas.microsoft.com/office/drawing/2014/chart" uri="{C3380CC4-5D6E-409C-BE32-E72D297353CC}">
                  <c16:uniqueId val="{00000005-221A-CD4C-88F5-E34572768CE5}"/>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table'!$L$3:$L$8</c:f>
              <c:strCache>
                <c:ptCount val="5"/>
                <c:pt idx="0">
                  <c:v>Aksesorë</c:v>
                </c:pt>
                <c:pt idx="1">
                  <c:v>Laptopë</c:v>
                </c:pt>
                <c:pt idx="2">
                  <c:v>Monitorë</c:v>
                </c:pt>
                <c:pt idx="3">
                  <c:v>Pajisje Gaming</c:v>
                </c:pt>
                <c:pt idx="4">
                  <c:v>Desktop</c:v>
                </c:pt>
              </c:strCache>
            </c:strRef>
          </c:cat>
          <c:val>
            <c:numRef>
              <c:f>'Pivot table'!$M$3:$M$8</c:f>
              <c:numCache>
                <c:formatCode>General</c:formatCode>
                <c:ptCount val="5"/>
                <c:pt idx="0">
                  <c:v>13</c:v>
                </c:pt>
                <c:pt idx="1">
                  <c:v>14</c:v>
                </c:pt>
                <c:pt idx="2">
                  <c:v>11</c:v>
                </c:pt>
                <c:pt idx="3">
                  <c:v>10</c:v>
                </c:pt>
                <c:pt idx="4">
                  <c:v>7</c:v>
                </c:pt>
              </c:numCache>
            </c:numRef>
          </c:val>
          <c:extLst>
            <c:ext xmlns:c16="http://schemas.microsoft.com/office/drawing/2014/chart" uri="{C3380CC4-5D6E-409C-BE32-E72D297353CC}">
              <c16:uniqueId val="{00000000-221A-CD4C-88F5-E34572768CE5}"/>
            </c:ext>
          </c:extLst>
        </c:ser>
        <c:ser>
          <c:idx val="1"/>
          <c:order val="1"/>
          <c:tx>
            <c:strRef>
              <c:f>'Pivot table'!$N$2</c:f>
              <c:strCache>
                <c:ptCount val="1"/>
                <c:pt idx="0">
                  <c:v>Sum of Shitjet (€)</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table'!$L$3:$L$8</c:f>
              <c:strCache>
                <c:ptCount val="5"/>
                <c:pt idx="0">
                  <c:v>Aksesorë</c:v>
                </c:pt>
                <c:pt idx="1">
                  <c:v>Laptopë</c:v>
                </c:pt>
                <c:pt idx="2">
                  <c:v>Monitorë</c:v>
                </c:pt>
                <c:pt idx="3">
                  <c:v>Pajisje Gaming</c:v>
                </c:pt>
                <c:pt idx="4">
                  <c:v>Desktop</c:v>
                </c:pt>
              </c:strCache>
            </c:strRef>
          </c:cat>
          <c:val>
            <c:numRef>
              <c:f>'Pivot table'!$N$3:$N$8</c:f>
              <c:numCache>
                <c:formatCode>_([$€-2]\ * #,##0.00_);_([$€-2]\ * \(#,##0.00\);_([$€-2]\ * "-"??_);_(@_)</c:formatCode>
                <c:ptCount val="5"/>
                <c:pt idx="0">
                  <c:v>123844</c:v>
                </c:pt>
                <c:pt idx="1">
                  <c:v>115750</c:v>
                </c:pt>
                <c:pt idx="2">
                  <c:v>109800</c:v>
                </c:pt>
                <c:pt idx="3">
                  <c:v>109048</c:v>
                </c:pt>
                <c:pt idx="4">
                  <c:v>102804</c:v>
                </c:pt>
              </c:numCache>
            </c:numRef>
          </c:val>
          <c:extLst>
            <c:ext xmlns:c16="http://schemas.microsoft.com/office/drawing/2014/chart" uri="{C3380CC4-5D6E-409C-BE32-E72D297353CC}">
              <c16:uniqueId val="{00000001-221A-CD4C-88F5-E34572768CE5}"/>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[Dataset_Shitje_Kompjuterike_55_Rreshta_V2.xlsx]Pivot table!PivotTable8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'Pivot table'!$C$2</c:f>
              <c:strCache>
                <c:ptCount val="1"/>
                <c:pt idx="0">
                  <c:v>Sum of Shitjet (€)</c:v>
                </c:pt>
              </c:strCache>
            </c:strRef>
          </c:tx>
          <c:spPr>
            <a:solidFill>
              <a:schemeClr val="accent1"/>
            </a:solidFill>
            <a:ln>
              <a:noFill/>
            </a:ln>
            <a:effectLst/>
          </c:spPr>
          <c:invertIfNegative val="0"/>
          <c:cat>
            <c:strRef>
              <c:f>'Pivot table'!$B$3:$B$15</c:f>
              <c:strCache>
                <c:ptCount val="12"/>
                <c:pt idx="0">
                  <c:v>Janar</c:v>
                </c:pt>
                <c:pt idx="1">
                  <c:v>Shkurt</c:v>
                </c:pt>
                <c:pt idx="2">
                  <c:v>Mars</c:v>
                </c:pt>
                <c:pt idx="3">
                  <c:v>Prill</c:v>
                </c:pt>
                <c:pt idx="4">
                  <c:v>Maj</c:v>
                </c:pt>
                <c:pt idx="5">
                  <c:v>Qershor</c:v>
                </c:pt>
                <c:pt idx="6">
                  <c:v>Korrik</c:v>
                </c:pt>
                <c:pt idx="7">
                  <c:v>Gusht</c:v>
                </c:pt>
                <c:pt idx="8">
                  <c:v>Shtator</c:v>
                </c:pt>
                <c:pt idx="9">
                  <c:v>Tetor</c:v>
                </c:pt>
                <c:pt idx="10">
                  <c:v>Nentor</c:v>
                </c:pt>
                <c:pt idx="11">
                  <c:v>Dhjetor</c:v>
                </c:pt>
              </c:strCache>
            </c:strRef>
          </c:cat>
          <c:val>
            <c:numRef>
              <c:f>'Pivot table'!$C$3:$C$15</c:f>
              <c:numCache>
                <c:formatCode>_([$€-2]\ * #,##0.00_);_([$€-2]\ * \(#,##0.00\);_([$€-2]\ * "-"??_);_(@_)</c:formatCode>
                <c:ptCount val="12"/>
                <c:pt idx="0">
                  <c:v>62217</c:v>
                </c:pt>
                <c:pt idx="1">
                  <c:v>19458</c:v>
                </c:pt>
                <c:pt idx="2">
                  <c:v>23589</c:v>
                </c:pt>
                <c:pt idx="3">
                  <c:v>52233</c:v>
                </c:pt>
                <c:pt idx="4">
                  <c:v>54175</c:v>
                </c:pt>
                <c:pt idx="5">
                  <c:v>29545</c:v>
                </c:pt>
                <c:pt idx="6">
                  <c:v>70927</c:v>
                </c:pt>
                <c:pt idx="7">
                  <c:v>29788</c:v>
                </c:pt>
                <c:pt idx="8">
                  <c:v>28357</c:v>
                </c:pt>
                <c:pt idx="9">
                  <c:v>29598</c:v>
                </c:pt>
                <c:pt idx="10">
                  <c:v>64978</c:v>
                </c:pt>
                <c:pt idx="11">
                  <c:v>96381</c:v>
                </c:pt>
              </c:numCache>
            </c:numRef>
          </c:val>
          <c:extLst>
            <c:ext xmlns:c16="http://schemas.microsoft.com/office/drawing/2014/chart" uri="{C3380CC4-5D6E-409C-BE32-E72D297353CC}">
              <c16:uniqueId val="{00000000-CB20-9E44-BBB9-BE9FA9B3E55A}"/>
            </c:ext>
          </c:extLst>
        </c:ser>
        <c:ser>
          <c:idx val="1"/>
          <c:order val="1"/>
          <c:tx>
            <c:strRef>
              <c:f>'Pivot table'!$D$2</c:f>
              <c:strCache>
                <c:ptCount val="1"/>
                <c:pt idx="0">
                  <c:v>Sum of Fitimi (€)</c:v>
                </c:pt>
              </c:strCache>
            </c:strRef>
          </c:tx>
          <c:spPr>
            <a:solidFill>
              <a:schemeClr val="accent2"/>
            </a:solidFill>
            <a:ln>
              <a:noFill/>
            </a:ln>
            <a:effectLst/>
          </c:spPr>
          <c:invertIfNegative val="0"/>
          <c:cat>
            <c:strRef>
              <c:f>'Pivot table'!$B$3:$B$15</c:f>
              <c:strCache>
                <c:ptCount val="12"/>
                <c:pt idx="0">
                  <c:v>Janar</c:v>
                </c:pt>
                <c:pt idx="1">
                  <c:v>Shkurt</c:v>
                </c:pt>
                <c:pt idx="2">
                  <c:v>Mars</c:v>
                </c:pt>
                <c:pt idx="3">
                  <c:v>Prill</c:v>
                </c:pt>
                <c:pt idx="4">
                  <c:v>Maj</c:v>
                </c:pt>
                <c:pt idx="5">
                  <c:v>Qershor</c:v>
                </c:pt>
                <c:pt idx="6">
                  <c:v>Korrik</c:v>
                </c:pt>
                <c:pt idx="7">
                  <c:v>Gusht</c:v>
                </c:pt>
                <c:pt idx="8">
                  <c:v>Shtator</c:v>
                </c:pt>
                <c:pt idx="9">
                  <c:v>Tetor</c:v>
                </c:pt>
                <c:pt idx="10">
                  <c:v>Nentor</c:v>
                </c:pt>
                <c:pt idx="11">
                  <c:v>Dhjetor</c:v>
                </c:pt>
              </c:strCache>
            </c:strRef>
          </c:cat>
          <c:val>
            <c:numRef>
              <c:f>'Pivot table'!$D$3:$D$15</c:f>
              <c:numCache>
                <c:formatCode>_([$€-2]\ * #,##0.00_);_([$€-2]\ * \(#,##0.00\);_([$€-2]\ * "-"??_);_(@_)</c:formatCode>
                <c:ptCount val="12"/>
                <c:pt idx="0">
                  <c:v>10683.75</c:v>
                </c:pt>
                <c:pt idx="1">
                  <c:v>2935.1000000000004</c:v>
                </c:pt>
                <c:pt idx="2">
                  <c:v>3281.78</c:v>
                </c:pt>
                <c:pt idx="3">
                  <c:v>9624.7099999999991</c:v>
                </c:pt>
                <c:pt idx="4">
                  <c:v>10096.77</c:v>
                </c:pt>
                <c:pt idx="5">
                  <c:v>5317.09</c:v>
                </c:pt>
                <c:pt idx="6">
                  <c:v>14488.669999999998</c:v>
                </c:pt>
                <c:pt idx="7">
                  <c:v>4710.62</c:v>
                </c:pt>
                <c:pt idx="8">
                  <c:v>5313.9000000000005</c:v>
                </c:pt>
                <c:pt idx="9">
                  <c:v>4914.7999999999993</c:v>
                </c:pt>
                <c:pt idx="10">
                  <c:v>12354.519999999999</c:v>
                </c:pt>
                <c:pt idx="11">
                  <c:v>17071.11</c:v>
                </c:pt>
              </c:numCache>
            </c:numRef>
          </c:val>
          <c:extLst>
            <c:ext xmlns:c16="http://schemas.microsoft.com/office/drawing/2014/chart" uri="{C3380CC4-5D6E-409C-BE32-E72D297353CC}">
              <c16:uniqueId val="{00000001-CB20-9E44-BBB9-BE9FA9B3E55A}"/>
            </c:ext>
          </c:extLst>
        </c:ser>
        <c:dLbls>
          <c:showLegendKey val="0"/>
          <c:showVal val="0"/>
          <c:showCatName val="0"/>
          <c:showSerName val="0"/>
          <c:showPercent val="0"/>
          <c:showBubbleSize val="0"/>
        </c:dLbls>
        <c:gapWidth val="71"/>
        <c:overlap val="100"/>
        <c:axId val="354403616"/>
        <c:axId val="353702320"/>
      </c:barChart>
      <c:catAx>
        <c:axId val="35440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702320"/>
        <c:crosses val="autoZero"/>
        <c:auto val="1"/>
        <c:lblAlgn val="ctr"/>
        <c:lblOffset val="100"/>
        <c:noMultiLvlLbl val="0"/>
      </c:catAx>
      <c:valAx>
        <c:axId val="353702320"/>
        <c:scaling>
          <c:orientation val="minMax"/>
        </c:scaling>
        <c:delete val="0"/>
        <c:axPos val="l"/>
        <c:majorGridlines>
          <c:spPr>
            <a:ln w="9525" cap="flat" cmpd="sng" algn="ctr">
              <a:solidFill>
                <a:schemeClr val="tx1">
                  <a:lumMod val="15000"/>
                  <a:lumOff val="85000"/>
                </a:schemeClr>
              </a:solidFill>
              <a:round/>
            </a:ln>
            <a:effectLst/>
          </c:spPr>
        </c:majorGridlines>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403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[Dataset_Shitje_Kompjuterike_55_Rreshta_V2.xlsx]Pivot table!PivotTable11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table'!$R$2</c:f>
              <c:strCache>
                <c:ptCount val="1"/>
                <c:pt idx="0">
                  <c:v>Sum of Sasia</c:v>
                </c:pt>
              </c:strCache>
            </c:strRef>
          </c:tx>
          <c:spPr>
            <a:solidFill>
              <a:schemeClr val="accent1"/>
            </a:solidFill>
            <a:ln>
              <a:noFill/>
            </a:ln>
            <a:effectLst/>
          </c:spPr>
          <c:invertIfNegative val="0"/>
          <c:cat>
            <c:strRef>
              <c:f>'Pivot table'!$Q$3:$Q$17</c:f>
              <c:strCache>
                <c:ptCount val="14"/>
                <c:pt idx="0">
                  <c:v>Prishtinë</c:v>
                </c:pt>
                <c:pt idx="1">
                  <c:v>Ferizaj</c:v>
                </c:pt>
                <c:pt idx="2">
                  <c:v>Rahovec</c:v>
                </c:pt>
                <c:pt idx="3">
                  <c:v>Podujevë</c:v>
                </c:pt>
                <c:pt idx="4">
                  <c:v>Drenas</c:v>
                </c:pt>
                <c:pt idx="5">
                  <c:v>Suharekë</c:v>
                </c:pt>
                <c:pt idx="6">
                  <c:v>Gjakovë</c:v>
                </c:pt>
                <c:pt idx="7">
                  <c:v>Gjilan</c:v>
                </c:pt>
                <c:pt idx="8">
                  <c:v>Prizren</c:v>
                </c:pt>
                <c:pt idx="9">
                  <c:v>Mitrovicë</c:v>
                </c:pt>
                <c:pt idx="10">
                  <c:v>Lipjan</c:v>
                </c:pt>
                <c:pt idx="11">
                  <c:v>Istog</c:v>
                </c:pt>
                <c:pt idx="12">
                  <c:v>Vushtrri</c:v>
                </c:pt>
                <c:pt idx="13">
                  <c:v>Malishevë</c:v>
                </c:pt>
              </c:strCache>
            </c:strRef>
          </c:cat>
          <c:val>
            <c:numRef>
              <c:f>'Pivot table'!$R$3:$R$17</c:f>
              <c:numCache>
                <c:formatCode>General</c:formatCode>
                <c:ptCount val="14"/>
                <c:pt idx="0">
                  <c:v>72</c:v>
                </c:pt>
                <c:pt idx="1">
                  <c:v>100</c:v>
                </c:pt>
                <c:pt idx="2">
                  <c:v>54</c:v>
                </c:pt>
                <c:pt idx="3">
                  <c:v>59</c:v>
                </c:pt>
                <c:pt idx="4">
                  <c:v>35</c:v>
                </c:pt>
                <c:pt idx="5">
                  <c:v>44</c:v>
                </c:pt>
                <c:pt idx="6">
                  <c:v>33</c:v>
                </c:pt>
                <c:pt idx="7">
                  <c:v>49</c:v>
                </c:pt>
                <c:pt idx="8">
                  <c:v>35</c:v>
                </c:pt>
                <c:pt idx="9">
                  <c:v>43</c:v>
                </c:pt>
                <c:pt idx="10">
                  <c:v>33</c:v>
                </c:pt>
                <c:pt idx="11">
                  <c:v>39</c:v>
                </c:pt>
                <c:pt idx="12">
                  <c:v>4</c:v>
                </c:pt>
                <c:pt idx="13">
                  <c:v>2</c:v>
                </c:pt>
              </c:numCache>
            </c:numRef>
          </c:val>
          <c:extLst>
            <c:ext xmlns:c16="http://schemas.microsoft.com/office/drawing/2014/chart" uri="{C3380CC4-5D6E-409C-BE32-E72D297353CC}">
              <c16:uniqueId val="{00000000-1625-F747-8386-812804B2F726}"/>
            </c:ext>
          </c:extLst>
        </c:ser>
        <c:ser>
          <c:idx val="1"/>
          <c:order val="1"/>
          <c:tx>
            <c:strRef>
              <c:f>'Pivot table'!$S$2</c:f>
              <c:strCache>
                <c:ptCount val="1"/>
                <c:pt idx="0">
                  <c:v>Sum of Shitjet (€)</c:v>
                </c:pt>
              </c:strCache>
            </c:strRef>
          </c:tx>
          <c:spPr>
            <a:solidFill>
              <a:schemeClr val="accent2"/>
            </a:solidFill>
            <a:ln>
              <a:noFill/>
            </a:ln>
            <a:effectLst/>
          </c:spPr>
          <c:invertIfNegative val="0"/>
          <c:cat>
            <c:strRef>
              <c:f>'Pivot table'!$Q$3:$Q$17</c:f>
              <c:strCache>
                <c:ptCount val="14"/>
                <c:pt idx="0">
                  <c:v>Prishtinë</c:v>
                </c:pt>
                <c:pt idx="1">
                  <c:v>Ferizaj</c:v>
                </c:pt>
                <c:pt idx="2">
                  <c:v>Rahovec</c:v>
                </c:pt>
                <c:pt idx="3">
                  <c:v>Podujevë</c:v>
                </c:pt>
                <c:pt idx="4">
                  <c:v>Drenas</c:v>
                </c:pt>
                <c:pt idx="5">
                  <c:v>Suharekë</c:v>
                </c:pt>
                <c:pt idx="6">
                  <c:v>Gjakovë</c:v>
                </c:pt>
                <c:pt idx="7">
                  <c:v>Gjilan</c:v>
                </c:pt>
                <c:pt idx="8">
                  <c:v>Prizren</c:v>
                </c:pt>
                <c:pt idx="9">
                  <c:v>Mitrovicë</c:v>
                </c:pt>
                <c:pt idx="10">
                  <c:v>Lipjan</c:v>
                </c:pt>
                <c:pt idx="11">
                  <c:v>Istog</c:v>
                </c:pt>
                <c:pt idx="12">
                  <c:v>Vushtrri</c:v>
                </c:pt>
                <c:pt idx="13">
                  <c:v>Malishevë</c:v>
                </c:pt>
              </c:strCache>
            </c:strRef>
          </c:cat>
          <c:val>
            <c:numRef>
              <c:f>'Pivot table'!$S$3:$S$17</c:f>
              <c:numCache>
                <c:formatCode>_([$€-2]\ * #,##0.00_);_([$€-2]\ * \(#,##0.00\);_([$€-2]\ * "-"??_);_(@_)</c:formatCode>
                <c:ptCount val="14"/>
                <c:pt idx="0">
                  <c:v>70068</c:v>
                </c:pt>
                <c:pt idx="1">
                  <c:v>72463</c:v>
                </c:pt>
                <c:pt idx="2">
                  <c:v>59069</c:v>
                </c:pt>
                <c:pt idx="3">
                  <c:v>52932</c:v>
                </c:pt>
                <c:pt idx="4">
                  <c:v>39936</c:v>
                </c:pt>
                <c:pt idx="5">
                  <c:v>40814</c:v>
                </c:pt>
                <c:pt idx="6">
                  <c:v>41052</c:v>
                </c:pt>
                <c:pt idx="7">
                  <c:v>41890</c:v>
                </c:pt>
                <c:pt idx="8">
                  <c:v>34768</c:v>
                </c:pt>
                <c:pt idx="9">
                  <c:v>33020</c:v>
                </c:pt>
                <c:pt idx="10">
                  <c:v>34673</c:v>
                </c:pt>
                <c:pt idx="11">
                  <c:v>35571</c:v>
                </c:pt>
                <c:pt idx="12">
                  <c:v>3264</c:v>
                </c:pt>
                <c:pt idx="13">
                  <c:v>1726</c:v>
                </c:pt>
              </c:numCache>
            </c:numRef>
          </c:val>
          <c:extLst>
            <c:ext xmlns:c16="http://schemas.microsoft.com/office/drawing/2014/chart" uri="{C3380CC4-5D6E-409C-BE32-E72D297353CC}">
              <c16:uniqueId val="{00000001-1625-F747-8386-812804B2F726}"/>
            </c:ext>
          </c:extLst>
        </c:ser>
        <c:ser>
          <c:idx val="2"/>
          <c:order val="2"/>
          <c:tx>
            <c:strRef>
              <c:f>'Pivot table'!$T$2</c:f>
              <c:strCache>
                <c:ptCount val="1"/>
                <c:pt idx="0">
                  <c:v>Sum of Fitimi (€)</c:v>
                </c:pt>
              </c:strCache>
            </c:strRef>
          </c:tx>
          <c:spPr>
            <a:solidFill>
              <a:schemeClr val="accent3"/>
            </a:solidFill>
            <a:ln>
              <a:noFill/>
            </a:ln>
            <a:effectLst/>
          </c:spPr>
          <c:invertIfNegative val="0"/>
          <c:cat>
            <c:strRef>
              <c:f>'Pivot table'!$Q$3:$Q$17</c:f>
              <c:strCache>
                <c:ptCount val="14"/>
                <c:pt idx="0">
                  <c:v>Prishtinë</c:v>
                </c:pt>
                <c:pt idx="1">
                  <c:v>Ferizaj</c:v>
                </c:pt>
                <c:pt idx="2">
                  <c:v>Rahovec</c:v>
                </c:pt>
                <c:pt idx="3">
                  <c:v>Podujevë</c:v>
                </c:pt>
                <c:pt idx="4">
                  <c:v>Drenas</c:v>
                </c:pt>
                <c:pt idx="5">
                  <c:v>Suharekë</c:v>
                </c:pt>
                <c:pt idx="6">
                  <c:v>Gjakovë</c:v>
                </c:pt>
                <c:pt idx="7">
                  <c:v>Gjilan</c:v>
                </c:pt>
                <c:pt idx="8">
                  <c:v>Prizren</c:v>
                </c:pt>
                <c:pt idx="9">
                  <c:v>Mitrovicë</c:v>
                </c:pt>
                <c:pt idx="10">
                  <c:v>Lipjan</c:v>
                </c:pt>
                <c:pt idx="11">
                  <c:v>Istog</c:v>
                </c:pt>
                <c:pt idx="12">
                  <c:v>Vushtrri</c:v>
                </c:pt>
                <c:pt idx="13">
                  <c:v>Malishevë</c:v>
                </c:pt>
              </c:strCache>
            </c:strRef>
          </c:cat>
          <c:val>
            <c:numRef>
              <c:f>'Pivot table'!$T$3:$T$17</c:f>
              <c:numCache>
                <c:formatCode>_([$€-2]\ * #,##0.00_);_([$€-2]\ * \(#,##0.00\);_([$€-2]\ * "-"??_);_(@_)</c:formatCode>
                <c:ptCount val="14"/>
                <c:pt idx="0">
                  <c:v>13374.149999999998</c:v>
                </c:pt>
                <c:pt idx="1">
                  <c:v>12971.039999999999</c:v>
                </c:pt>
                <c:pt idx="2">
                  <c:v>10052.039999999999</c:v>
                </c:pt>
                <c:pt idx="3">
                  <c:v>9610.69</c:v>
                </c:pt>
                <c:pt idx="4">
                  <c:v>8420.26</c:v>
                </c:pt>
                <c:pt idx="5">
                  <c:v>7895.7</c:v>
                </c:pt>
                <c:pt idx="6">
                  <c:v>7766.1</c:v>
                </c:pt>
                <c:pt idx="7">
                  <c:v>7334.6099999999988</c:v>
                </c:pt>
                <c:pt idx="8">
                  <c:v>6201.26</c:v>
                </c:pt>
                <c:pt idx="9">
                  <c:v>5719.01</c:v>
                </c:pt>
                <c:pt idx="10">
                  <c:v>5442.66</c:v>
                </c:pt>
                <c:pt idx="11">
                  <c:v>5106.79</c:v>
                </c:pt>
                <c:pt idx="12">
                  <c:v>641.4</c:v>
                </c:pt>
                <c:pt idx="13">
                  <c:v>257.11</c:v>
                </c:pt>
              </c:numCache>
            </c:numRef>
          </c:val>
          <c:extLst>
            <c:ext xmlns:c16="http://schemas.microsoft.com/office/drawing/2014/chart" uri="{C3380CC4-5D6E-409C-BE32-E72D297353CC}">
              <c16:uniqueId val="{00000002-1625-F747-8386-812804B2F726}"/>
            </c:ext>
          </c:extLst>
        </c:ser>
        <c:dLbls>
          <c:showLegendKey val="0"/>
          <c:showVal val="0"/>
          <c:showCatName val="0"/>
          <c:showSerName val="0"/>
          <c:showPercent val="0"/>
          <c:showBubbleSize val="0"/>
        </c:dLbls>
        <c:gapWidth val="82"/>
        <c:overlap val="100"/>
        <c:axId val="278816800"/>
        <c:axId val="87677072"/>
      </c:barChart>
      <c:catAx>
        <c:axId val="27881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77072"/>
        <c:crosses val="autoZero"/>
        <c:auto val="1"/>
        <c:lblAlgn val="ctr"/>
        <c:lblOffset val="100"/>
        <c:noMultiLvlLbl val="0"/>
      </c:catAx>
      <c:valAx>
        <c:axId val="87677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816800"/>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 table'!$B$21</c:f>
              <c:strCache>
                <c:ptCount val="1"/>
                <c:pt idx="0">
                  <c:v>Dhjetor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887-EB43-B806-C5A0CE7205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D887-EB43-B806-C5A0CE720559}"/>
              </c:ext>
            </c:extLst>
          </c:dPt>
          <c:dLbls>
            <c:dLbl>
              <c:idx val="0"/>
              <c:tx>
                <c:rich>
                  <a:bodyPr/>
                  <a:lstStyle/>
                  <a:p>
                    <a:fld id="{5DBF9309-1E7D-2F40-96D7-6E6E5AF1E5A1}" type="VALUE">
                      <a:rPr lang="en-US" baseline="0"/>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887-EB43-B806-C5A0CE720559}"/>
                </c:ext>
              </c:extLst>
            </c:dLbl>
            <c:dLbl>
              <c:idx val="1"/>
              <c:tx>
                <c:rich>
                  <a:bodyPr/>
                  <a:lstStyle/>
                  <a:p>
                    <a:fld id="{55787E97-FA3C-7F4C-9832-7830D0B1A181}" type="VALUE">
                      <a:rPr lang="en-US" baseline="0"/>
                      <a:pPr/>
                      <a:t>[VALUE]</a:t>
                    </a:fld>
                    <a:endParaRPr lang="en-US"/>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887-EB43-B806-C5A0CE720559}"/>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'Pivot table'!$C$21:$D$21</c:f>
              <c:numCache>
                <c:formatCode>_([$€-2]\ * #,##0.00_);_([$€-2]\ * \(#,##0.00\);_([$€-2]\ * "-"??_);_(@_)</c:formatCode>
                <c:ptCount val="2"/>
                <c:pt idx="0">
                  <c:v>96381</c:v>
                </c:pt>
                <c:pt idx="1">
                  <c:v>17071.11</c:v>
                </c:pt>
              </c:numCache>
            </c:numRef>
          </c:val>
          <c:extLst>
            <c:ext xmlns:c16="http://schemas.microsoft.com/office/drawing/2014/chart" uri="{C3380CC4-5D6E-409C-BE32-E72D297353CC}">
              <c16:uniqueId val="{00000000-D887-EB43-B806-C5A0CE720559}"/>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1AB1-8645-AFCD-748EB08272EF}"/>
              </c:ext>
            </c:extLst>
          </c:dPt>
          <c:dPt>
            <c:idx val="1"/>
            <c:bubble3D val="0"/>
            <c:spPr>
              <a:solidFill>
                <a:schemeClr val="bg1">
                  <a:lumMod val="8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1AB1-8645-AFCD-748EB08272EF}"/>
              </c:ext>
            </c:extLst>
          </c:dPt>
          <c:dLbls>
            <c:delete val="1"/>
          </c:dLbls>
          <c:val>
            <c:numRef>
              <c:f>'Shitje Kompjuterike'!$L$61:$L$62</c:f>
              <c:numCache>
                <c:formatCode>_([$€-2]\ * #,##0.0_);_([$€-2]\ * \(#,##0.0\);_([$€-2]\ * "-"??_);_(@_)</c:formatCode>
                <c:ptCount val="2"/>
                <c:pt idx="0">
                  <c:v>561246</c:v>
                </c:pt>
                <c:pt idx="1">
                  <c:v>100792.81999999998</c:v>
                </c:pt>
              </c:numCache>
            </c:numRef>
          </c:val>
          <c:extLst>
            <c:ext xmlns:c16="http://schemas.microsoft.com/office/drawing/2014/chart" uri="{C3380CC4-5D6E-409C-BE32-E72D297353CC}">
              <c16:uniqueId val="{0000000B-1AB1-8645-AFCD-748EB08272EF}"/>
            </c:ext>
          </c:extLst>
        </c:ser>
        <c:ser>
          <c:idx val="0"/>
          <c:order val="1"/>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AB1-8645-AFCD-748EB08272EF}"/>
              </c:ext>
            </c:extLst>
          </c:dPt>
          <c:dPt>
            <c:idx val="1"/>
            <c:bubble3D val="0"/>
            <c:spPr>
              <a:solidFill>
                <a:schemeClr val="bg1">
                  <a:lumMod val="8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1AB1-8645-AFCD-748EB08272EF}"/>
              </c:ext>
            </c:extLst>
          </c:dPt>
          <c:dLbls>
            <c:dLbl>
              <c:idx val="0"/>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49015AA4-17FE-564B-9940-EC34F15EBB6F}" type="VALUE">
                      <a:rPr lang="en-US"/>
                      <a:pPr>
                        <a:defRPr/>
                      </a:pPr>
                      <a:t>[VALUE]</a:t>
                    </a:fld>
                    <a:endParaRPr lang="en-US"/>
                  </a:p>
                </c:rich>
              </c:tx>
              <c:spPr>
                <a:solidFill>
                  <a:schemeClr val="lt1">
                    <a:alpha val="75000"/>
                  </a:schemeClr>
                </a:solidFill>
                <a:ln w="9525">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0748696496473377"/>
                      <c:h val="0.10550007444379354"/>
                    </c:manualLayout>
                  </c15:layout>
                  <c15:dlblFieldTable/>
                  <c15:showDataLabelsRange val="0"/>
                </c:ext>
                <c:ext xmlns:c16="http://schemas.microsoft.com/office/drawing/2014/chart" uri="{C3380CC4-5D6E-409C-BE32-E72D297353CC}">
                  <c16:uniqueId val="{00000007-1AB1-8645-AFCD-748EB08272EF}"/>
                </c:ext>
              </c:extLst>
            </c:dLbl>
            <c:dLbl>
              <c:idx val="1"/>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B4200580-8953-5948-9BCF-5F730B5B62C5}" type="VALUE">
                      <a:rPr lang="en-US"/>
                      <a:pPr>
                        <a:defRPr/>
                      </a:pPr>
                      <a:t>[VALUE]</a:t>
                    </a:fld>
                    <a:endParaRPr lang="en-US"/>
                  </a:p>
                </c:rich>
              </c:tx>
              <c:spPr>
                <a:solidFill>
                  <a:schemeClr val="lt1">
                    <a:alpha val="75000"/>
                  </a:schemeClr>
                </a:solidFill>
                <a:ln w="9525">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1835127655661205"/>
                      <c:h val="0.13200763083670647"/>
                    </c:manualLayout>
                  </c15:layout>
                  <c15:dlblFieldTable/>
                  <c15:showDataLabelsRange val="0"/>
                </c:ext>
                <c:ext xmlns:c16="http://schemas.microsoft.com/office/drawing/2014/chart" uri="{C3380CC4-5D6E-409C-BE32-E72D297353CC}">
                  <c16:uniqueId val="{00000009-1AB1-8645-AFCD-748EB08272EF}"/>
                </c:ext>
              </c:extLst>
            </c:dLbl>
            <c:spPr>
              <a:solidFill>
                <a:schemeClr val="lt1">
                  <a:alpha val="75000"/>
                </a:schemeClr>
              </a:solidFill>
              <a:ln w="9525">
                <a:noFill/>
              </a:ln>
              <a:effectLst/>
            </c:spPr>
            <c:txPr>
              <a:bodyPr rot="-540000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val>
            <c:numRef>
              <c:f>'Shitje Kompjuterike'!$L$61:$L$62</c:f>
              <c:numCache>
                <c:formatCode>_([$€-2]\ * #,##0.0_);_([$€-2]\ * \(#,##0.0\);_([$€-2]\ * "-"??_);_(@_)</c:formatCode>
                <c:ptCount val="2"/>
                <c:pt idx="0">
                  <c:v>561246</c:v>
                </c:pt>
                <c:pt idx="1">
                  <c:v>100792.81999999998</c:v>
                </c:pt>
              </c:numCache>
            </c:numRef>
          </c:val>
          <c:extLst>
            <c:ext xmlns:c16="http://schemas.microsoft.com/office/drawing/2014/chart" uri="{C3380CC4-5D6E-409C-BE32-E72D297353CC}">
              <c16:uniqueId val="{0000000A-1AB1-8645-AFCD-748EB08272EF}"/>
            </c:ext>
          </c:extLst>
        </c:ser>
        <c:dLbls>
          <c:showLegendKey val="0"/>
          <c:showVal val="1"/>
          <c:showCatName val="0"/>
          <c:showSerName val="0"/>
          <c:showPercent val="0"/>
          <c:showBubbleSize val="0"/>
          <c:showLeaderLines val="1"/>
        </c:dLbls>
        <c:firstSliceAng val="0"/>
        <c:holeSize val="63"/>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FC-9448-9B28-CA093D2F10C7}"/>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32FC-9448-9B28-CA093D2F10C7}"/>
              </c:ext>
            </c:extLst>
          </c:dPt>
          <c:dLbls>
            <c:dLbl>
              <c:idx val="0"/>
              <c:delete val="1"/>
              <c:extLst>
                <c:ext xmlns:c15="http://schemas.microsoft.com/office/drawing/2012/chart" uri="{CE6537A1-D6FC-4f65-9D91-7224C49458BB}"/>
                <c:ext xmlns:c16="http://schemas.microsoft.com/office/drawing/2014/chart" uri="{C3380CC4-5D6E-409C-BE32-E72D297353CC}">
                  <c16:uniqueId val="{00000001-32FC-9448-9B28-CA093D2F10C7}"/>
                </c:ext>
              </c:extLst>
            </c:dLbl>
            <c:dLbl>
              <c:idx val="1"/>
              <c:layout>
                <c:manualLayout>
                  <c:x val="7.682181100795045E-2"/>
                  <c:y val="0.2163066899928769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E960DAD-E4D9-7044-A92A-EA650D27EA9A}" type="VALUE">
                      <a:rPr lang="en-US" sz="1600">
                        <a:solidFill>
                          <a:schemeClr val="accent1"/>
                        </a:solidFill>
                      </a:rPr>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560733272730563"/>
                      <c:h val="0.15882049646679441"/>
                    </c:manualLayout>
                  </c15:layout>
                  <c15:dlblFieldTable/>
                  <c15:showDataLabelsRange val="0"/>
                </c:ext>
                <c:ext xmlns:c16="http://schemas.microsoft.com/office/drawing/2014/chart" uri="{C3380CC4-5D6E-409C-BE32-E72D297353CC}">
                  <c16:uniqueId val="{00000003-32FC-9448-9B28-CA093D2F10C7}"/>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'Shitje Kompjuterike'!$M$61:$M$62</c:f>
              <c:strCache>
                <c:ptCount val="2"/>
                <c:pt idx="0">
                  <c:v>Shitjet</c:v>
                </c:pt>
                <c:pt idx="1">
                  <c:v>Fitimi</c:v>
                </c:pt>
              </c:strCache>
            </c:strRef>
          </c:cat>
          <c:val>
            <c:numRef>
              <c:f>'Shitje Kompjuterike'!$N$61:$N$62</c:f>
              <c:numCache>
                <c:formatCode>0.00%</c:formatCode>
                <c:ptCount val="2"/>
                <c:pt idx="0">
                  <c:v>0.82069999999999999</c:v>
                </c:pt>
                <c:pt idx="1">
                  <c:v>0.17929999999999999</c:v>
                </c:pt>
              </c:numCache>
            </c:numRef>
          </c:val>
          <c:extLst>
            <c:ext xmlns:c16="http://schemas.microsoft.com/office/drawing/2014/chart" uri="{C3380CC4-5D6E-409C-BE32-E72D297353CC}">
              <c16:uniqueId val="{00000004-32FC-9448-9B28-CA093D2F10C7}"/>
            </c:ext>
          </c:extLst>
        </c:ser>
        <c:dLbls>
          <c:showLegendKey val="0"/>
          <c:showVal val="1"/>
          <c:showCatName val="0"/>
          <c:showSerName val="0"/>
          <c:showPercent val="0"/>
          <c:showBubbleSize val="0"/>
          <c:showLeaderLines val="1"/>
        </c:dLbls>
        <c:firstSliceAng val="0"/>
        <c:holeSize val="6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 table'!$B$21</c:f>
              <c:strCache>
                <c:ptCount val="1"/>
                <c:pt idx="0">
                  <c:v>Dhjetor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23-414F-B48E-433B7FD34B0F}"/>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1A23-414F-B48E-433B7FD34B0F}"/>
              </c:ext>
            </c:extLst>
          </c:dPt>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DBF9309-1E7D-2F40-96D7-6E6E5AF1E5A1}" type="VALUE">
                      <a:rPr lang="en-US" baseline="0"/>
                      <a:pPr>
                        <a:defRPr/>
                      </a:pPr>
                      <a:t>[VALUE]</a:t>
                    </a:fld>
                    <a:endParaRPr lang="en-US"/>
                  </a:p>
                </c:rich>
              </c:tx>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100166216464376"/>
                      <c:h val="8.1387835912224718E-2"/>
                    </c:manualLayout>
                  </c15:layout>
                  <c15:dlblFieldTable/>
                  <c15:showDataLabelsRange val="0"/>
                </c:ext>
                <c:ext xmlns:c16="http://schemas.microsoft.com/office/drawing/2014/chart" uri="{C3380CC4-5D6E-409C-BE32-E72D297353CC}">
                  <c16:uniqueId val="{00000001-1A23-414F-B48E-433B7FD34B0F}"/>
                </c:ext>
              </c:extLst>
            </c:dLbl>
            <c:dLbl>
              <c:idx val="1"/>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5787E97-FA3C-7F4C-9832-7830D0B1A181}" type="VALUE">
                      <a:rPr lang="en-US" baseline="0"/>
                      <a:pPr>
                        <a:defRPr/>
                      </a:pPr>
                      <a:t>[VALUE]</a:t>
                    </a:fld>
                    <a:endParaRPr lang="en-US"/>
                  </a:p>
                </c:rich>
              </c:tx>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0505492677215159"/>
                      <c:h val="9.6239630786718267E-2"/>
                    </c:manualLayout>
                  </c15:layout>
                  <c15:dlblFieldTable/>
                  <c15:showDataLabelsRange val="0"/>
                </c:ext>
                <c:ext xmlns:c16="http://schemas.microsoft.com/office/drawing/2014/chart" uri="{C3380CC4-5D6E-409C-BE32-E72D297353CC}">
                  <c16:uniqueId val="{00000003-1A23-414F-B48E-433B7FD34B0F}"/>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'Pivot table'!$C$21:$D$21</c:f>
              <c:numCache>
                <c:formatCode>_([$€-2]\ * #,##0.00_);_([$€-2]\ * \(#,##0.00\);_([$€-2]\ * "-"??_);_(@_)</c:formatCode>
                <c:ptCount val="2"/>
                <c:pt idx="0">
                  <c:v>96381</c:v>
                </c:pt>
                <c:pt idx="1">
                  <c:v>17071.11</c:v>
                </c:pt>
              </c:numCache>
            </c:numRef>
          </c:val>
          <c:extLst>
            <c:ext xmlns:c16="http://schemas.microsoft.com/office/drawing/2014/chart" uri="{C3380CC4-5D6E-409C-BE32-E72D297353CC}">
              <c16:uniqueId val="{00000004-1A23-414F-B48E-433B7FD34B0F}"/>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[Dataset_Shitje_Kompjuterike_55_Rreshta_V2.xlsx]Pivot table!PivotTable10</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8105726872246704E-3"/>
              <c:y val="5.1446945337620578E-2"/>
            </c:manualLayout>
          </c:layout>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fld id="{0E8D7F19-C895-E544-A6C0-77BEE9BB7412}" type="CATEGORYNAME">
                  <a:rPr lang="en-US"/>
                  <a:pPr>
                    <a:defRPr sz="1400" b="0" i="0" u="none" strike="noStrike" kern="1200" baseline="0">
                      <a:solidFill>
                        <a:schemeClr val="tx1">
                          <a:lumMod val="75000"/>
                          <a:lumOff val="25000"/>
                        </a:schemeClr>
                      </a:solidFill>
                      <a:latin typeface="+mn-lt"/>
                      <a:ea typeface="+mn-ea"/>
                      <a:cs typeface="+mn-cs"/>
                    </a:defRPr>
                  </a:pPr>
                  <a:t>[CATEGORY NAME]</a:t>
                </a:fld>
                <a:r>
                  <a:rPr lang="en-US" baseline="0"/>
                  <a:t> (</a:t>
                </a:r>
                <a:fld id="{04805B8C-77CB-9F40-815F-46F1AD33FE74}" type="VALUE">
                  <a:rPr lang="en-US" baseline="0"/>
                  <a:pPr>
                    <a:defRPr sz="1400" b="0" i="0" u="none" strike="noStrike" kern="1200" baseline="0">
                      <a:solidFill>
                        <a:schemeClr val="tx1">
                          <a:lumMod val="75000"/>
                          <a:lumOff val="25000"/>
                        </a:schemeClr>
                      </a:solidFill>
                      <a:latin typeface="+mn-lt"/>
                      <a:ea typeface="+mn-ea"/>
                      <a:cs typeface="+mn-cs"/>
                    </a:defRPr>
                  </a:pPr>
                  <a:t>[VALUE]</a:t>
                </a:fld>
                <a:r>
                  <a:rPr lang="en-US" baseline="0"/>
                  <a:t>), </a:t>
                </a:r>
                <a:fld id="{0EEBB516-8357-6D45-A11A-5C9E434F8AD4}" type="PERCENTAGE">
                  <a:rPr lang="en-US" baseline="0"/>
                  <a:pPr>
                    <a:defRPr sz="14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3"/>
        <c:spPr>
          <a:solidFill>
            <a:schemeClr val="accent4"/>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fld id="{CB8C5737-6EB7-3F46-B75D-B6E2CC4A31E3}" type="CATEGORYNAME">
                  <a:rPr lang="en-US"/>
                  <a:pPr>
                    <a:defRPr sz="1400" b="0" i="0" u="none" strike="noStrike" kern="1200" baseline="0">
                      <a:solidFill>
                        <a:schemeClr val="tx1">
                          <a:lumMod val="75000"/>
                          <a:lumOff val="25000"/>
                        </a:schemeClr>
                      </a:solidFill>
                      <a:latin typeface="+mn-lt"/>
                      <a:ea typeface="+mn-ea"/>
                      <a:cs typeface="+mn-cs"/>
                    </a:defRPr>
                  </a:pPr>
                  <a:t>[CATEGORY NAME]</a:t>
                </a:fld>
                <a:r>
                  <a:rPr lang="en-US" baseline="0"/>
                  <a:t> (</a:t>
                </a:r>
                <a:fld id="{E3E1B6A0-36CD-8C45-9531-265517AF97F6}" type="VALUE">
                  <a:rPr lang="en-US" baseline="0"/>
                  <a:pPr>
                    <a:defRPr sz="1400" b="0" i="0" u="none" strike="noStrike" kern="1200" baseline="0">
                      <a:solidFill>
                        <a:schemeClr val="tx1">
                          <a:lumMod val="75000"/>
                          <a:lumOff val="25000"/>
                        </a:schemeClr>
                      </a:solidFill>
                      <a:latin typeface="+mn-lt"/>
                      <a:ea typeface="+mn-ea"/>
                      <a:cs typeface="+mn-cs"/>
                    </a:defRPr>
                  </a:pPr>
                  <a:t>[VALUE]</a:t>
                </a:fld>
                <a:r>
                  <a:rPr lang="en-US" baseline="0"/>
                  <a:t>), </a:t>
                </a:r>
                <a:fld id="{5B172AE5-289A-F648-8536-7A633B1FA455}" type="PERCENTAGE">
                  <a:rPr lang="en-US" baseline="0"/>
                  <a:pPr>
                    <a:defRPr sz="14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15:layout>
                <c:manualLayout>
                  <c:w val="0.26378091505081691"/>
                  <c:h val="0.1861236342026715"/>
                </c:manualLayout>
              </c15:layout>
              <c15:dlblFieldTable/>
              <c15:showDataLabelsRange val="0"/>
            </c:ext>
          </c:extLst>
        </c:dLbl>
      </c:pivotFmt>
      <c:pivotFmt>
        <c:idx val="4"/>
        <c:spPr>
          <a:solidFill>
            <a:schemeClr val="accent5"/>
          </a:solidFill>
          <a:ln w="19050">
            <a:solidFill>
              <a:schemeClr val="lt1"/>
            </a:solidFill>
          </a:ln>
          <a:effectLst/>
        </c:spPr>
        <c:dLbl>
          <c:idx val="0"/>
          <c:layout>
            <c:manualLayout>
              <c:x val="-6.6493981754483331E-2"/>
              <c:y val="9.3247715016330349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CB5327BB-5CFF-0443-93B8-F64DCD762889}" type="CATEGORYNAME">
                  <a:rPr lang="en-US"/>
                  <a:pPr>
                    <a:defRPr sz="1400" b="0" i="0" u="none" strike="noStrike" kern="1200" baseline="0">
                      <a:solidFill>
                        <a:schemeClr val="tx1">
                          <a:lumMod val="75000"/>
                          <a:lumOff val="25000"/>
                        </a:schemeClr>
                      </a:solidFill>
                      <a:latin typeface="+mn-lt"/>
                      <a:ea typeface="+mn-ea"/>
                      <a:cs typeface="+mn-cs"/>
                    </a:defRPr>
                  </a:pPr>
                  <a:t>[CATEGORY NAME]</a:t>
                </a:fld>
                <a:r>
                  <a:rPr lang="en-US" baseline="0"/>
                  <a:t> (</a:t>
                </a:r>
                <a:fld id="{EEFCD777-B510-6747-9B09-A73B78FDD36D}" type="VALUE">
                  <a:rPr lang="en-US" baseline="0"/>
                  <a:pPr>
                    <a:defRPr sz="1400" b="0" i="0" u="none" strike="noStrike" kern="1200" baseline="0">
                      <a:solidFill>
                        <a:schemeClr val="tx1">
                          <a:lumMod val="75000"/>
                          <a:lumOff val="25000"/>
                        </a:schemeClr>
                      </a:solidFill>
                      <a:latin typeface="+mn-lt"/>
                      <a:ea typeface="+mn-ea"/>
                      <a:cs typeface="+mn-cs"/>
                    </a:defRPr>
                  </a:pPr>
                  <a:t>[VALUE]</a:t>
                </a:fld>
                <a:r>
                  <a:rPr lang="en-US" baseline="0"/>
                  <a:t>), </a:t>
                </a:r>
                <a:fld id="{03340BB9-2B69-D447-8DCC-928AF1413B2C}" type="PERCENTAGE">
                  <a:rPr lang="en-US" baseline="0"/>
                  <a:pPr>
                    <a:defRPr sz="14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layout>
                <c:manualLayout>
                  <c:w val="0.19443078150473481"/>
                  <c:h val="0.16524871355060033"/>
                </c:manualLayout>
              </c15:layout>
              <c15:dlblFieldTable/>
              <c15:showDataLabelsRange val="0"/>
            </c:ext>
          </c:extLst>
        </c:dLbl>
      </c:pivotFmt>
      <c:pivotFmt>
        <c:idx val="5"/>
        <c:spPr>
          <a:solidFill>
            <a:schemeClr val="accent3"/>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fld id="{100019D2-610F-624C-A1FA-B218C54DEDA2}" type="CATEGORYNAME">
                  <a:rPr lang="en-US"/>
                  <a:pPr>
                    <a:defRPr sz="1400" b="0" i="0" u="none" strike="noStrike" kern="1200" baseline="0">
                      <a:solidFill>
                        <a:schemeClr val="tx1">
                          <a:lumMod val="75000"/>
                          <a:lumOff val="25000"/>
                        </a:schemeClr>
                      </a:solidFill>
                      <a:latin typeface="+mn-lt"/>
                      <a:ea typeface="+mn-ea"/>
                      <a:cs typeface="+mn-cs"/>
                    </a:defRPr>
                  </a:pPr>
                  <a:t>[CATEGORY NAME]</a:t>
                </a:fld>
                <a:r>
                  <a:rPr lang="en-US" baseline="0"/>
                  <a:t> (</a:t>
                </a:r>
                <a:fld id="{89111E4B-76E2-AB42-832D-5A2444270726}" type="VALUE">
                  <a:rPr lang="en-US" baseline="0"/>
                  <a:pPr>
                    <a:defRPr sz="1400" b="0" i="0" u="none" strike="noStrike" kern="1200" baseline="0">
                      <a:solidFill>
                        <a:schemeClr val="tx1">
                          <a:lumMod val="75000"/>
                          <a:lumOff val="25000"/>
                        </a:schemeClr>
                      </a:solidFill>
                      <a:latin typeface="+mn-lt"/>
                      <a:ea typeface="+mn-ea"/>
                      <a:cs typeface="+mn-cs"/>
                    </a:defRPr>
                  </a:pPr>
                  <a:t>[VALUE]</a:t>
                </a:fld>
                <a:r>
                  <a:rPr lang="en-US" baseline="0"/>
                  <a:t>), </a:t>
                </a:r>
                <a:fld id="{8431B3A0-2751-F048-9060-56C00D8C05EF}" type="PERCENTAGE">
                  <a:rPr lang="en-US" baseline="0"/>
                  <a:pPr>
                    <a:defRPr sz="14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6"/>
        <c:spPr>
          <a:solidFill>
            <a:schemeClr val="accent2"/>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fld id="{C38C6053-6A06-D342-B229-03312B362400}" type="CATEGORYNAME">
                  <a:rPr lang="en-US"/>
                  <a:pPr>
                    <a:defRPr sz="1400" b="0" i="0" u="none" strike="noStrike" kern="1200" baseline="0">
                      <a:solidFill>
                        <a:schemeClr val="tx1">
                          <a:lumMod val="75000"/>
                          <a:lumOff val="25000"/>
                        </a:schemeClr>
                      </a:solidFill>
                      <a:latin typeface="+mn-lt"/>
                      <a:ea typeface="+mn-ea"/>
                      <a:cs typeface="+mn-cs"/>
                    </a:defRPr>
                  </a:pPr>
                  <a:t>[CATEGORY NAME]</a:t>
                </a:fld>
                <a:r>
                  <a:rPr lang="en-US" baseline="0"/>
                  <a:t> (</a:t>
                </a:r>
                <a:fld id="{AD9E6459-1A51-D248-A50E-88A08378CB56}" type="VALUE">
                  <a:rPr lang="en-US" baseline="0"/>
                  <a:pPr>
                    <a:defRPr sz="1400" b="0" i="0" u="none" strike="noStrike" kern="1200" baseline="0">
                      <a:solidFill>
                        <a:schemeClr val="tx1">
                          <a:lumMod val="75000"/>
                          <a:lumOff val="25000"/>
                        </a:schemeClr>
                      </a:solidFill>
                      <a:latin typeface="+mn-lt"/>
                      <a:ea typeface="+mn-ea"/>
                      <a:cs typeface="+mn-cs"/>
                    </a:defRPr>
                  </a:pPr>
                  <a:t>[VALUE]</a:t>
                </a:fld>
                <a:r>
                  <a:rPr lang="en-US" baseline="0"/>
                  <a:t>), </a:t>
                </a:r>
                <a:fld id="{47A88F8C-2F1A-A94F-99A5-1BB346D2586E}" type="PERCENTAGE">
                  <a:rPr lang="en-US" baseline="0"/>
                  <a:pPr>
                    <a:defRPr sz="14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8105726872246704E-3"/>
              <c:y val="5.1446945337620578E-2"/>
            </c:manualLayout>
          </c:layout>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fld id="{0E8D7F19-C895-E544-A6C0-77BEE9BB7412}" type="CATEGORYNAME">
                  <a:rPr lang="en-US"/>
                  <a:pPr>
                    <a:defRPr sz="1400" b="0" i="0" u="none" strike="noStrike" kern="1200" baseline="0">
                      <a:solidFill>
                        <a:schemeClr val="tx1">
                          <a:lumMod val="75000"/>
                          <a:lumOff val="25000"/>
                        </a:schemeClr>
                      </a:solidFill>
                      <a:latin typeface="+mn-lt"/>
                      <a:ea typeface="+mn-ea"/>
                      <a:cs typeface="+mn-cs"/>
                    </a:defRPr>
                  </a:pPr>
                  <a:t>[CATEGORY NAME]</a:t>
                </a:fld>
                <a:r>
                  <a:rPr lang="en-US" baseline="0"/>
                  <a:t> (</a:t>
                </a:r>
                <a:fld id="{04805B8C-77CB-9F40-815F-46F1AD33FE74}" type="VALUE">
                  <a:rPr lang="en-US" baseline="0"/>
                  <a:pPr>
                    <a:defRPr sz="1400" b="0" i="0" u="none" strike="noStrike" kern="1200" baseline="0">
                      <a:solidFill>
                        <a:schemeClr val="tx1">
                          <a:lumMod val="75000"/>
                          <a:lumOff val="25000"/>
                        </a:schemeClr>
                      </a:solidFill>
                      <a:latin typeface="+mn-lt"/>
                      <a:ea typeface="+mn-ea"/>
                      <a:cs typeface="+mn-cs"/>
                    </a:defRPr>
                  </a:pPr>
                  <a:t>[VALUE]</a:t>
                </a:fld>
                <a:r>
                  <a:rPr lang="en-US" baseline="0"/>
                  <a:t>), </a:t>
                </a:r>
                <a:fld id="{0EEBB516-8357-6D45-A11A-5C9E434F8AD4}" type="PERCENTAGE">
                  <a:rPr lang="en-US" baseline="0"/>
                  <a:pPr>
                    <a:defRPr sz="14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9"/>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fld id="{C38C6053-6A06-D342-B229-03312B362400}" type="CATEGORYNAME">
                  <a:rPr lang="en-US"/>
                  <a:pPr>
                    <a:defRPr sz="1400" b="0" i="0" u="none" strike="noStrike" kern="1200" baseline="0">
                      <a:solidFill>
                        <a:schemeClr val="tx1">
                          <a:lumMod val="75000"/>
                          <a:lumOff val="25000"/>
                        </a:schemeClr>
                      </a:solidFill>
                      <a:latin typeface="+mn-lt"/>
                      <a:ea typeface="+mn-ea"/>
                      <a:cs typeface="+mn-cs"/>
                    </a:defRPr>
                  </a:pPr>
                  <a:t>[CATEGORY NAME]</a:t>
                </a:fld>
                <a:r>
                  <a:rPr lang="en-US" baseline="0"/>
                  <a:t> (</a:t>
                </a:r>
                <a:fld id="{AD9E6459-1A51-D248-A50E-88A08378CB56}" type="VALUE">
                  <a:rPr lang="en-US" baseline="0"/>
                  <a:pPr>
                    <a:defRPr sz="1400" b="0" i="0" u="none" strike="noStrike" kern="1200" baseline="0">
                      <a:solidFill>
                        <a:schemeClr val="tx1">
                          <a:lumMod val="75000"/>
                          <a:lumOff val="25000"/>
                        </a:schemeClr>
                      </a:solidFill>
                      <a:latin typeface="+mn-lt"/>
                      <a:ea typeface="+mn-ea"/>
                      <a:cs typeface="+mn-cs"/>
                    </a:defRPr>
                  </a:pPr>
                  <a:t>[VALUE]</a:t>
                </a:fld>
                <a:r>
                  <a:rPr lang="en-US" baseline="0"/>
                  <a:t>), </a:t>
                </a:r>
                <a:fld id="{47A88F8C-2F1A-A94F-99A5-1BB346D2586E}" type="PERCENTAGE">
                  <a:rPr lang="en-US" baseline="0"/>
                  <a:pPr>
                    <a:defRPr sz="14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fld id="{100019D2-610F-624C-A1FA-B218C54DEDA2}" type="CATEGORYNAME">
                  <a:rPr lang="en-US"/>
                  <a:pPr>
                    <a:defRPr sz="1400" b="0" i="0" u="none" strike="noStrike" kern="1200" baseline="0">
                      <a:solidFill>
                        <a:schemeClr val="tx1">
                          <a:lumMod val="75000"/>
                          <a:lumOff val="25000"/>
                        </a:schemeClr>
                      </a:solidFill>
                      <a:latin typeface="+mn-lt"/>
                      <a:ea typeface="+mn-ea"/>
                      <a:cs typeface="+mn-cs"/>
                    </a:defRPr>
                  </a:pPr>
                  <a:t>[CATEGORY NAME]</a:t>
                </a:fld>
                <a:r>
                  <a:rPr lang="en-US" baseline="0"/>
                  <a:t> (</a:t>
                </a:r>
                <a:fld id="{89111E4B-76E2-AB42-832D-5A2444270726}" type="VALUE">
                  <a:rPr lang="en-US" baseline="0"/>
                  <a:pPr>
                    <a:defRPr sz="1400" b="0" i="0" u="none" strike="noStrike" kern="1200" baseline="0">
                      <a:solidFill>
                        <a:schemeClr val="tx1">
                          <a:lumMod val="75000"/>
                          <a:lumOff val="25000"/>
                        </a:schemeClr>
                      </a:solidFill>
                      <a:latin typeface="+mn-lt"/>
                      <a:ea typeface="+mn-ea"/>
                      <a:cs typeface="+mn-cs"/>
                    </a:defRPr>
                  </a:pPr>
                  <a:t>[VALUE]</a:t>
                </a:fld>
                <a:r>
                  <a:rPr lang="en-US" baseline="0"/>
                  <a:t>), </a:t>
                </a:r>
                <a:fld id="{8431B3A0-2751-F048-9060-56C00D8C05EF}" type="PERCENTAGE">
                  <a:rPr lang="en-US" baseline="0"/>
                  <a:pPr>
                    <a:defRPr sz="14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fld id="{CB8C5737-6EB7-3F46-B75D-B6E2CC4A31E3}" type="CATEGORYNAME">
                  <a:rPr lang="en-US"/>
                  <a:pPr>
                    <a:defRPr sz="1400" b="0" i="0" u="none" strike="noStrike" kern="1200" baseline="0">
                      <a:solidFill>
                        <a:schemeClr val="tx1">
                          <a:lumMod val="75000"/>
                          <a:lumOff val="25000"/>
                        </a:schemeClr>
                      </a:solidFill>
                      <a:latin typeface="+mn-lt"/>
                      <a:ea typeface="+mn-ea"/>
                      <a:cs typeface="+mn-cs"/>
                    </a:defRPr>
                  </a:pPr>
                  <a:t>[CATEGORY NAME]</a:t>
                </a:fld>
                <a:r>
                  <a:rPr lang="en-US" baseline="0"/>
                  <a:t> (</a:t>
                </a:r>
                <a:fld id="{E3E1B6A0-36CD-8C45-9531-265517AF97F6}" type="VALUE">
                  <a:rPr lang="en-US" baseline="0"/>
                  <a:pPr>
                    <a:defRPr sz="1400" b="0" i="0" u="none" strike="noStrike" kern="1200" baseline="0">
                      <a:solidFill>
                        <a:schemeClr val="tx1">
                          <a:lumMod val="75000"/>
                          <a:lumOff val="25000"/>
                        </a:schemeClr>
                      </a:solidFill>
                      <a:latin typeface="+mn-lt"/>
                      <a:ea typeface="+mn-ea"/>
                      <a:cs typeface="+mn-cs"/>
                    </a:defRPr>
                  </a:pPr>
                  <a:t>[VALUE]</a:t>
                </a:fld>
                <a:r>
                  <a:rPr lang="en-US" baseline="0"/>
                  <a:t>), </a:t>
                </a:r>
                <a:fld id="{5B172AE5-289A-F648-8536-7A633B1FA455}" type="PERCENTAGE">
                  <a:rPr lang="en-US" baseline="0"/>
                  <a:pPr>
                    <a:defRPr sz="14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15:layout>
                <c:manualLayout>
                  <c:w val="0.26378091505081691"/>
                  <c:h val="0.1861236342026715"/>
                </c:manualLayout>
              </c15:layout>
              <c15:dlblFieldTable/>
              <c15:showDataLabelsRange val="0"/>
            </c:ext>
          </c:extLst>
        </c:dLbl>
      </c:pivotFmt>
      <c:pivotFmt>
        <c:idx val="12"/>
        <c:spPr>
          <a:solidFill>
            <a:schemeClr val="accent1"/>
          </a:solidFill>
          <a:ln w="19050">
            <a:solidFill>
              <a:schemeClr val="lt1"/>
            </a:solidFill>
          </a:ln>
          <a:effectLst/>
        </c:spPr>
        <c:dLbl>
          <c:idx val="0"/>
          <c:layout>
            <c:manualLayout>
              <c:x val="-6.6493981754483331E-2"/>
              <c:y val="9.3247715016330349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CB5327BB-5CFF-0443-93B8-F64DCD762889}" type="CATEGORYNAME">
                  <a:rPr lang="en-US"/>
                  <a:pPr>
                    <a:defRPr sz="1400" b="0" i="0" u="none" strike="noStrike" kern="1200" baseline="0">
                      <a:solidFill>
                        <a:schemeClr val="tx1">
                          <a:lumMod val="75000"/>
                          <a:lumOff val="25000"/>
                        </a:schemeClr>
                      </a:solidFill>
                      <a:latin typeface="+mn-lt"/>
                      <a:ea typeface="+mn-ea"/>
                      <a:cs typeface="+mn-cs"/>
                    </a:defRPr>
                  </a:pPr>
                  <a:t>[CATEGORY NAME]</a:t>
                </a:fld>
                <a:r>
                  <a:rPr lang="en-US" baseline="0"/>
                  <a:t> (</a:t>
                </a:r>
                <a:fld id="{EEFCD777-B510-6747-9B09-A73B78FDD36D}" type="VALUE">
                  <a:rPr lang="en-US" baseline="0"/>
                  <a:pPr>
                    <a:defRPr sz="1400" b="0" i="0" u="none" strike="noStrike" kern="1200" baseline="0">
                      <a:solidFill>
                        <a:schemeClr val="tx1">
                          <a:lumMod val="75000"/>
                          <a:lumOff val="25000"/>
                        </a:schemeClr>
                      </a:solidFill>
                      <a:latin typeface="+mn-lt"/>
                      <a:ea typeface="+mn-ea"/>
                      <a:cs typeface="+mn-cs"/>
                    </a:defRPr>
                  </a:pPr>
                  <a:t>[VALUE]</a:t>
                </a:fld>
                <a:r>
                  <a:rPr lang="en-US" baseline="0"/>
                  <a:t>), </a:t>
                </a:r>
                <a:fld id="{03340BB9-2B69-D447-8DCC-928AF1413B2C}" type="PERCENTAGE">
                  <a:rPr lang="en-US" baseline="0"/>
                  <a:pPr>
                    <a:defRPr sz="14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layout>
                <c:manualLayout>
                  <c:w val="0.19443078150473481"/>
                  <c:h val="0.16524871355060033"/>
                </c:manualLayout>
              </c15:layout>
              <c15:dlblFieldTable/>
              <c15:showDataLabelsRange val="0"/>
            </c:ext>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8.8105726872246704E-3"/>
              <c:y val="5.1446945337620578E-2"/>
            </c:manualLayout>
          </c:layout>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fld id="{0E8D7F19-C895-E544-A6C0-77BEE9BB7412}" type="CATEGORYNAME">
                  <a:rPr lang="en-US"/>
                  <a:pPr>
                    <a:defRPr sz="1400"/>
                  </a:pPr>
                  <a:t>[CATEGORY NAME]</a:t>
                </a:fld>
                <a:r>
                  <a:rPr lang="en-US" baseline="0"/>
                  <a:t> (</a:t>
                </a:r>
                <a:fld id="{04805B8C-77CB-9F40-815F-46F1AD33FE74}" type="VALUE">
                  <a:rPr lang="en-US" baseline="0"/>
                  <a:pPr>
                    <a:defRPr sz="1400"/>
                  </a:pPr>
                  <a:t>[VALUE]</a:t>
                </a:fld>
                <a:r>
                  <a:rPr lang="en-US" baseline="0"/>
                  <a:t>), </a:t>
                </a:r>
                <a:fld id="{0EEBB516-8357-6D45-A11A-5C9E434F8AD4}" type="PERCENTAGE">
                  <a:rPr lang="en-US" baseline="0"/>
                  <a:pPr>
                    <a:defRPr sz="1400"/>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2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fld id="{C38C6053-6A06-D342-B229-03312B362400}" type="CATEGORYNAME">
                  <a:rPr lang="en-US"/>
                  <a:pPr>
                    <a:defRPr sz="1400"/>
                  </a:pPr>
                  <a:t>[CATEGORY NAME]</a:t>
                </a:fld>
                <a:r>
                  <a:rPr lang="en-US" baseline="0"/>
                  <a:t> (</a:t>
                </a:r>
                <a:fld id="{AD9E6459-1A51-D248-A50E-88A08378CB56}" type="VALUE">
                  <a:rPr lang="en-US" baseline="0"/>
                  <a:pPr>
                    <a:defRPr sz="1400"/>
                  </a:pPr>
                  <a:t>[VALUE]</a:t>
                </a:fld>
                <a:r>
                  <a:rPr lang="en-US" baseline="0"/>
                  <a:t>), </a:t>
                </a:r>
                <a:fld id="{47A88F8C-2F1A-A94F-99A5-1BB346D2586E}" type="PERCENTAGE">
                  <a:rPr lang="en-US" baseline="0"/>
                  <a:pPr>
                    <a:defRPr sz="1400"/>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2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fld id="{100019D2-610F-624C-A1FA-B218C54DEDA2}" type="CATEGORYNAME">
                  <a:rPr lang="en-US"/>
                  <a:pPr>
                    <a:defRPr sz="1400"/>
                  </a:pPr>
                  <a:t>[CATEGORY NAME]</a:t>
                </a:fld>
                <a:r>
                  <a:rPr lang="en-US" baseline="0"/>
                  <a:t> (</a:t>
                </a:r>
                <a:fld id="{89111E4B-76E2-AB42-832D-5A2444270726}" type="VALUE">
                  <a:rPr lang="en-US" baseline="0"/>
                  <a:pPr>
                    <a:defRPr sz="1400"/>
                  </a:pPr>
                  <a:t>[VALUE]</a:t>
                </a:fld>
                <a:r>
                  <a:rPr lang="en-US" baseline="0"/>
                  <a:t>), </a:t>
                </a:r>
                <a:fld id="{8431B3A0-2751-F048-9060-56C00D8C05EF}" type="PERCENTAGE">
                  <a:rPr lang="en-US" baseline="0"/>
                  <a:pPr>
                    <a:defRPr sz="1400"/>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15:dlblFieldTable/>
              <c15:showDataLabelsRange val="0"/>
            </c:ext>
          </c:extLst>
        </c:dLbl>
      </c:pivotFmt>
      <c:pivotFmt>
        <c:idx val="23"/>
        <c:spPr>
          <a:solidFill>
            <a:schemeClr val="bg1">
              <a:lumMod val="75000"/>
            </a:schemeClr>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fld id="{CB8C5737-6EB7-3F46-B75D-B6E2CC4A31E3}" type="CATEGORYNAME">
                  <a:rPr lang="en-US"/>
                  <a:pPr>
                    <a:defRPr sz="1400"/>
                  </a:pPr>
                  <a:t>[CATEGORY NAME]</a:t>
                </a:fld>
                <a:r>
                  <a:rPr lang="en-US" baseline="0"/>
                  <a:t> (</a:t>
                </a:r>
                <a:fld id="{E3E1B6A0-36CD-8C45-9531-265517AF97F6}" type="VALUE">
                  <a:rPr lang="en-US" baseline="0"/>
                  <a:pPr>
                    <a:defRPr sz="1400"/>
                  </a:pPr>
                  <a:t>[VALUE]</a:t>
                </a:fld>
                <a:r>
                  <a:rPr lang="en-US" baseline="0"/>
                  <a:t>), </a:t>
                </a:r>
                <a:fld id="{5B172AE5-289A-F648-8536-7A633B1FA455}" type="PERCENTAGE">
                  <a:rPr lang="en-US" baseline="0"/>
                  <a:pPr>
                    <a:defRPr sz="1400"/>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15:layout>
                <c:manualLayout>
                  <c:w val="0.26378091505081691"/>
                  <c:h val="0.1861236342026715"/>
                </c:manualLayout>
              </c15:layout>
              <c15:dlblFieldTable/>
              <c15:showDataLabelsRange val="0"/>
            </c:ext>
          </c:extLst>
        </c:dLbl>
      </c:pivotFmt>
      <c:pivotFmt>
        <c:idx val="24"/>
        <c:spPr>
          <a:solidFill>
            <a:schemeClr val="accent1"/>
          </a:solidFill>
          <a:ln w="19050">
            <a:solidFill>
              <a:schemeClr val="lt1"/>
            </a:solidFill>
          </a:ln>
          <a:effectLst/>
        </c:spPr>
        <c:dLbl>
          <c:idx val="0"/>
          <c:layout>
            <c:manualLayout>
              <c:x val="-6.6493981754483331E-2"/>
              <c:y val="9.3247715016330349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CB5327BB-5CFF-0443-93B8-F64DCD762889}" type="CATEGORYNAME">
                  <a:rPr lang="en-US"/>
                  <a:pPr>
                    <a:defRPr sz="1400"/>
                  </a:pPr>
                  <a:t>[CATEGORY NAME]</a:t>
                </a:fld>
                <a:r>
                  <a:rPr lang="en-US" baseline="0"/>
                  <a:t> (</a:t>
                </a:r>
                <a:fld id="{EEFCD777-B510-6747-9B09-A73B78FDD36D}" type="VALUE">
                  <a:rPr lang="en-US" baseline="0"/>
                  <a:pPr>
                    <a:defRPr sz="1400"/>
                  </a:pPr>
                  <a:t>[VALUE]</a:t>
                </a:fld>
                <a:r>
                  <a:rPr lang="en-US" baseline="0"/>
                  <a:t>), </a:t>
                </a:r>
                <a:fld id="{03340BB9-2B69-D447-8DCC-928AF1413B2C}" type="PERCENTAGE">
                  <a:rPr lang="en-US" baseline="0"/>
                  <a:pPr>
                    <a:defRPr sz="1400"/>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layout>
                <c:manualLayout>
                  <c:w val="0.19443078150473481"/>
                  <c:h val="0.16524871355060033"/>
                </c:manualLayout>
              </c15:layout>
              <c15:dlblFieldTable/>
              <c15:showDataLabelsRange val="0"/>
            </c:ext>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s>
    <c:plotArea>
      <c:layout/>
      <c:pieChart>
        <c:varyColors val="1"/>
        <c:ser>
          <c:idx val="0"/>
          <c:order val="0"/>
          <c:tx>
            <c:strRef>
              <c:f>'Pivot table'!$M$2</c:f>
              <c:strCache>
                <c:ptCount val="1"/>
                <c:pt idx="0">
                  <c:v>Count of Produkti</c:v>
                </c:pt>
              </c:strCache>
            </c:strRef>
          </c:tx>
          <c:dPt>
            <c:idx val="0"/>
            <c:bubble3D val="0"/>
            <c:explosion val="8"/>
            <c:spPr>
              <a:solidFill>
                <a:schemeClr val="accent1"/>
              </a:solidFill>
              <a:ln w="19050">
                <a:solidFill>
                  <a:schemeClr val="lt1"/>
                </a:solidFill>
              </a:ln>
              <a:effectLst/>
            </c:spPr>
            <c:extLst>
              <c:ext xmlns:c16="http://schemas.microsoft.com/office/drawing/2014/chart" uri="{C3380CC4-5D6E-409C-BE32-E72D297353CC}">
                <c16:uniqueId val="{00000001-25F9-4143-9C69-2D128F4CF688}"/>
              </c:ext>
            </c:extLst>
          </c:dPt>
          <c:dPt>
            <c:idx val="1"/>
            <c:bubble3D val="0"/>
            <c:explosion val="4"/>
            <c:spPr>
              <a:solidFill>
                <a:schemeClr val="accent2"/>
              </a:solidFill>
              <a:ln w="19050">
                <a:solidFill>
                  <a:schemeClr val="lt1"/>
                </a:solidFill>
              </a:ln>
              <a:effectLst/>
            </c:spPr>
            <c:extLst>
              <c:ext xmlns:c16="http://schemas.microsoft.com/office/drawing/2014/chart" uri="{C3380CC4-5D6E-409C-BE32-E72D297353CC}">
                <c16:uniqueId val="{00000003-25F9-4143-9C69-2D128F4CF688}"/>
              </c:ext>
            </c:extLst>
          </c:dPt>
          <c:dPt>
            <c:idx val="2"/>
            <c:bubble3D val="0"/>
            <c:explosion val="3"/>
            <c:spPr>
              <a:solidFill>
                <a:schemeClr val="accent3"/>
              </a:solidFill>
              <a:ln w="19050">
                <a:solidFill>
                  <a:schemeClr val="lt1"/>
                </a:solidFill>
              </a:ln>
              <a:effectLst/>
            </c:spPr>
            <c:extLst>
              <c:ext xmlns:c16="http://schemas.microsoft.com/office/drawing/2014/chart" uri="{C3380CC4-5D6E-409C-BE32-E72D297353CC}">
                <c16:uniqueId val="{00000005-25F9-4143-9C69-2D128F4CF688}"/>
              </c:ext>
            </c:extLst>
          </c:dPt>
          <c:dPt>
            <c:idx val="3"/>
            <c:bubble3D val="0"/>
            <c:explosion val="3"/>
            <c:spPr>
              <a:solidFill>
                <a:schemeClr val="bg1">
                  <a:lumMod val="75000"/>
                </a:schemeClr>
              </a:solidFill>
              <a:ln w="19050">
                <a:solidFill>
                  <a:schemeClr val="lt1"/>
                </a:solidFill>
              </a:ln>
              <a:effectLst/>
            </c:spPr>
            <c:extLst>
              <c:ext xmlns:c16="http://schemas.microsoft.com/office/drawing/2014/chart" uri="{C3380CC4-5D6E-409C-BE32-E72D297353CC}">
                <c16:uniqueId val="{00000007-25F9-4143-9C69-2D128F4CF688}"/>
              </c:ext>
            </c:extLst>
          </c:dPt>
          <c:dPt>
            <c:idx val="4"/>
            <c:bubble3D val="0"/>
            <c:explosion val="4"/>
            <c:spPr>
              <a:solidFill>
                <a:schemeClr val="accent5"/>
              </a:solidFill>
              <a:ln w="19050">
                <a:solidFill>
                  <a:schemeClr val="lt1"/>
                </a:solidFill>
              </a:ln>
              <a:effectLst/>
            </c:spPr>
            <c:extLst>
              <c:ext xmlns:c16="http://schemas.microsoft.com/office/drawing/2014/chart" uri="{C3380CC4-5D6E-409C-BE32-E72D297353CC}">
                <c16:uniqueId val="{00000009-25F9-4143-9C69-2D128F4CF688}"/>
              </c:ext>
            </c:extLst>
          </c:dPt>
          <c:dLbls>
            <c:dLbl>
              <c:idx val="0"/>
              <c:layout>
                <c:manualLayout>
                  <c:x val="8.8105726872246704E-3"/>
                  <c:y val="5.1446945337620578E-2"/>
                </c:manualLayout>
              </c:layout>
              <c:tx>
                <c:rich>
                  <a:bodyPr/>
                  <a:lstStyle/>
                  <a:p>
                    <a:fld id="{0E8D7F19-C895-E544-A6C0-77BEE9BB7412}" type="CATEGORYNAME">
                      <a:rPr lang="en-US"/>
                      <a:pPr/>
                      <a:t>[CATEGORY NAME]</a:t>
                    </a:fld>
                    <a:r>
                      <a:rPr lang="en-US" baseline="0"/>
                      <a:t> (</a:t>
                    </a:r>
                    <a:fld id="{04805B8C-77CB-9F40-815F-46F1AD33FE74}" type="VALUE">
                      <a:rPr lang="en-US" baseline="0"/>
                      <a:pPr/>
                      <a:t>[VALUE]</a:t>
                    </a:fld>
                    <a:r>
                      <a:rPr lang="en-US" baseline="0"/>
                      <a:t>), </a:t>
                    </a:r>
                    <a:fld id="{0EEBB516-8357-6D45-A11A-5C9E434F8AD4}" type="PERCENTAGE">
                      <a:rPr lang="en-US" baseline="0"/>
                      <a:pPr/>
                      <a:t>[PERCENTAGE]</a:t>
                    </a:fld>
                    <a:endParaRPr lang="en-US" baseline="0"/>
                  </a:p>
                </c:rich>
              </c:tx>
              <c:dLblPos val="bestFit"/>
              <c:showLegendKey val="1"/>
              <c:showVal val="1"/>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25F9-4143-9C69-2D128F4CF688}"/>
                </c:ext>
              </c:extLst>
            </c:dLbl>
            <c:dLbl>
              <c:idx val="1"/>
              <c:tx>
                <c:rich>
                  <a:bodyPr/>
                  <a:lstStyle/>
                  <a:p>
                    <a:fld id="{C38C6053-6A06-D342-B229-03312B362400}" type="CATEGORYNAME">
                      <a:rPr lang="en-US"/>
                      <a:pPr/>
                      <a:t>[CATEGORY NAME]</a:t>
                    </a:fld>
                    <a:r>
                      <a:rPr lang="en-US" baseline="0"/>
                      <a:t> (</a:t>
                    </a:r>
                    <a:fld id="{AD9E6459-1A51-D248-A50E-88A08378CB56}" type="VALUE">
                      <a:rPr lang="en-US" baseline="0"/>
                      <a:pPr/>
                      <a:t>[VALUE]</a:t>
                    </a:fld>
                    <a:r>
                      <a:rPr lang="en-US" baseline="0"/>
                      <a:t>), </a:t>
                    </a:r>
                    <a:fld id="{47A88F8C-2F1A-A94F-99A5-1BB346D2586E}" type="PERCENTAGE">
                      <a:rPr lang="en-US" baseline="0"/>
                      <a:pPr/>
                      <a:t>[PERCENTAGE]</a:t>
                    </a:fld>
                    <a:endParaRPr lang="en-US" baseline="0"/>
                  </a:p>
                </c:rich>
              </c:tx>
              <c:dLblPos val="outEnd"/>
              <c:showLegendKey val="1"/>
              <c:showVal val="1"/>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25F9-4143-9C69-2D128F4CF688}"/>
                </c:ext>
              </c:extLst>
            </c:dLbl>
            <c:dLbl>
              <c:idx val="2"/>
              <c:tx>
                <c:rich>
                  <a:bodyPr/>
                  <a:lstStyle/>
                  <a:p>
                    <a:fld id="{100019D2-610F-624C-A1FA-B218C54DEDA2}" type="CATEGORYNAME">
                      <a:rPr lang="en-US"/>
                      <a:pPr/>
                      <a:t>[CATEGORY NAME]</a:t>
                    </a:fld>
                    <a:r>
                      <a:rPr lang="en-US" baseline="0"/>
                      <a:t> (</a:t>
                    </a:r>
                    <a:fld id="{89111E4B-76E2-AB42-832D-5A2444270726}" type="VALUE">
                      <a:rPr lang="en-US" baseline="0"/>
                      <a:pPr/>
                      <a:t>[VALUE]</a:t>
                    </a:fld>
                    <a:r>
                      <a:rPr lang="en-US" baseline="0"/>
                      <a:t>), </a:t>
                    </a:r>
                    <a:fld id="{8431B3A0-2751-F048-9060-56C00D8C05EF}" type="PERCENTAGE">
                      <a:rPr lang="en-US" baseline="0"/>
                      <a:pPr/>
                      <a:t>[PERCENTAGE]</a:t>
                    </a:fld>
                    <a:endParaRPr lang="en-US" baseline="0"/>
                  </a:p>
                </c:rich>
              </c:tx>
              <c:dLblPos val="outEnd"/>
              <c:showLegendKey val="1"/>
              <c:showVal val="1"/>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25F9-4143-9C69-2D128F4CF688}"/>
                </c:ext>
              </c:extLst>
            </c:dLbl>
            <c:dLbl>
              <c:idx val="3"/>
              <c:tx>
                <c:rich>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fld id="{CB8C5737-6EB7-3F46-B75D-B6E2CC4A31E3}" type="CATEGORYNAME">
                      <a:rPr lang="en-US"/>
                      <a:pPr>
                        <a:defRPr sz="1400"/>
                      </a:pPr>
                      <a:t>[CATEGORY NAME]</a:t>
                    </a:fld>
                    <a:r>
                      <a:rPr lang="en-US" baseline="0"/>
                      <a:t> (</a:t>
                    </a:r>
                    <a:fld id="{E3E1B6A0-36CD-8C45-9531-265517AF97F6}" type="VALUE">
                      <a:rPr lang="en-US" baseline="0"/>
                      <a:pPr>
                        <a:defRPr sz="1400"/>
                      </a:pPr>
                      <a:t>[VALUE]</a:t>
                    </a:fld>
                    <a:r>
                      <a:rPr lang="en-US" baseline="0"/>
                      <a:t>), </a:t>
                    </a:r>
                    <a:fld id="{5B172AE5-289A-F648-8536-7A633B1FA455}" type="PERCENTAGE">
                      <a:rPr lang="en-US" baseline="0"/>
                      <a:pPr>
                        <a:defRPr sz="1400"/>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extLst>
                <c:ext xmlns:c15="http://schemas.microsoft.com/office/drawing/2012/chart" uri="{CE6537A1-D6FC-4f65-9D91-7224C49458BB}">
                  <c15:layout>
                    <c:manualLayout>
                      <c:w val="0.26378091505081691"/>
                      <c:h val="0.1861236342026715"/>
                    </c:manualLayout>
                  </c15:layout>
                  <c15:dlblFieldTable/>
                  <c15:showDataLabelsRange val="0"/>
                </c:ext>
                <c:ext xmlns:c16="http://schemas.microsoft.com/office/drawing/2014/chart" uri="{C3380CC4-5D6E-409C-BE32-E72D297353CC}">
                  <c16:uniqueId val="{00000007-25F9-4143-9C69-2D128F4CF688}"/>
                </c:ext>
              </c:extLst>
            </c:dLbl>
            <c:dLbl>
              <c:idx val="4"/>
              <c:layout>
                <c:manualLayout>
                  <c:x val="-6.6493981754483331E-2"/>
                  <c:y val="9.3247715016330349E-2"/>
                </c:manualLayout>
              </c:layout>
              <c:tx>
                <c:rich>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fld id="{CB5327BB-5CFF-0443-93B8-F64DCD762889}" type="CATEGORYNAME">
                      <a:rPr lang="en-US"/>
                      <a:pPr>
                        <a:defRPr sz="1400"/>
                      </a:pPr>
                      <a:t>[CATEGORY NAME]</a:t>
                    </a:fld>
                    <a:r>
                      <a:rPr lang="en-US" baseline="0"/>
                      <a:t> (</a:t>
                    </a:r>
                    <a:fld id="{EEFCD777-B510-6747-9B09-A73B78FDD36D}" type="VALUE">
                      <a:rPr lang="en-US" baseline="0"/>
                      <a:pPr>
                        <a:defRPr sz="1400"/>
                      </a:pPr>
                      <a:t>[VALUE]</a:t>
                    </a:fld>
                    <a:r>
                      <a:rPr lang="en-US" baseline="0"/>
                      <a:t>), </a:t>
                    </a:r>
                    <a:fld id="{03340BB9-2B69-D447-8DCC-928AF1413B2C}" type="PERCENTAGE">
                      <a:rPr lang="en-US" baseline="0"/>
                      <a:pPr>
                        <a:defRPr sz="1400"/>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bestFit"/>
              <c:showLegendKey val="1"/>
              <c:showVal val="1"/>
              <c:showCatName val="1"/>
              <c:showSerName val="0"/>
              <c:showPercent val="1"/>
              <c:showBubbleSize val="0"/>
              <c:separator>, </c:separator>
              <c:extLst>
                <c:ext xmlns:c15="http://schemas.microsoft.com/office/drawing/2012/chart" uri="{CE6537A1-D6FC-4f65-9D91-7224C49458BB}">
                  <c15:layout>
                    <c:manualLayout>
                      <c:w val="0.19443078150473481"/>
                      <c:h val="0.16524871355060033"/>
                    </c:manualLayout>
                  </c15:layout>
                  <c15:dlblFieldTable/>
                  <c15:showDataLabelsRange val="0"/>
                </c:ext>
                <c:ext xmlns:c16="http://schemas.microsoft.com/office/drawing/2014/chart" uri="{C3380CC4-5D6E-409C-BE32-E72D297353CC}">
                  <c16:uniqueId val="{00000009-25F9-4143-9C69-2D128F4CF688}"/>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1"/>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table'!$L$3:$L$8</c:f>
              <c:strCache>
                <c:ptCount val="5"/>
                <c:pt idx="0">
                  <c:v>Aksesorë</c:v>
                </c:pt>
                <c:pt idx="1">
                  <c:v>Laptopë</c:v>
                </c:pt>
                <c:pt idx="2">
                  <c:v>Monitorë</c:v>
                </c:pt>
                <c:pt idx="3">
                  <c:v>Pajisje Gaming</c:v>
                </c:pt>
                <c:pt idx="4">
                  <c:v>Desktop</c:v>
                </c:pt>
              </c:strCache>
            </c:strRef>
          </c:cat>
          <c:val>
            <c:numRef>
              <c:f>'Pivot table'!$M$3:$M$8</c:f>
              <c:numCache>
                <c:formatCode>General</c:formatCode>
                <c:ptCount val="5"/>
                <c:pt idx="0">
                  <c:v>13</c:v>
                </c:pt>
                <c:pt idx="1">
                  <c:v>14</c:v>
                </c:pt>
                <c:pt idx="2">
                  <c:v>11</c:v>
                </c:pt>
                <c:pt idx="3">
                  <c:v>10</c:v>
                </c:pt>
                <c:pt idx="4">
                  <c:v>7</c:v>
                </c:pt>
              </c:numCache>
            </c:numRef>
          </c:val>
          <c:extLst>
            <c:ext xmlns:c16="http://schemas.microsoft.com/office/drawing/2014/chart" uri="{C3380CC4-5D6E-409C-BE32-E72D297353CC}">
              <c16:uniqueId val="{0000000A-25F9-4143-9C69-2D128F4CF688}"/>
            </c:ext>
          </c:extLst>
        </c:ser>
        <c:ser>
          <c:idx val="1"/>
          <c:order val="1"/>
          <c:tx>
            <c:strRef>
              <c:f>'Pivot table'!$N$2</c:f>
              <c:strCache>
                <c:ptCount val="1"/>
                <c:pt idx="0">
                  <c:v>Sum of Shitjet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25F9-4143-9C69-2D128F4CF6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25F9-4143-9C69-2D128F4CF6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25F9-4143-9C69-2D128F4CF6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25F9-4143-9C69-2D128F4CF68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25F9-4143-9C69-2D128F4CF68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table'!$L$3:$L$8</c:f>
              <c:strCache>
                <c:ptCount val="5"/>
                <c:pt idx="0">
                  <c:v>Aksesorë</c:v>
                </c:pt>
                <c:pt idx="1">
                  <c:v>Laptopë</c:v>
                </c:pt>
                <c:pt idx="2">
                  <c:v>Monitorë</c:v>
                </c:pt>
                <c:pt idx="3">
                  <c:v>Pajisje Gaming</c:v>
                </c:pt>
                <c:pt idx="4">
                  <c:v>Desktop</c:v>
                </c:pt>
              </c:strCache>
            </c:strRef>
          </c:cat>
          <c:val>
            <c:numRef>
              <c:f>'Pivot table'!$N$3:$N$8</c:f>
              <c:numCache>
                <c:formatCode>_([$€-2]\ * #,##0.00_);_([$€-2]\ * \(#,##0.00\);_([$€-2]\ * "-"??_);_(@_)</c:formatCode>
                <c:ptCount val="5"/>
                <c:pt idx="0">
                  <c:v>123844</c:v>
                </c:pt>
                <c:pt idx="1">
                  <c:v>115750</c:v>
                </c:pt>
                <c:pt idx="2">
                  <c:v>109800</c:v>
                </c:pt>
                <c:pt idx="3">
                  <c:v>109048</c:v>
                </c:pt>
                <c:pt idx="4">
                  <c:v>102804</c:v>
                </c:pt>
              </c:numCache>
            </c:numRef>
          </c:val>
          <c:extLst>
            <c:ext xmlns:c16="http://schemas.microsoft.com/office/drawing/2014/chart" uri="{C3380CC4-5D6E-409C-BE32-E72D297353CC}">
              <c16:uniqueId val="{00000015-25F9-4143-9C69-2D128F4CF688}"/>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[Dataset_Shitje_Kompjuterike_55_Rreshta_V2.xlsx]Pivot table!PivotTable11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table'!$R$2</c:f>
              <c:strCache>
                <c:ptCount val="1"/>
                <c:pt idx="0">
                  <c:v>Sum of Sasia</c:v>
                </c:pt>
              </c:strCache>
            </c:strRef>
          </c:tx>
          <c:spPr>
            <a:solidFill>
              <a:schemeClr val="accent1"/>
            </a:solidFill>
            <a:ln>
              <a:noFill/>
            </a:ln>
            <a:effectLst/>
          </c:spPr>
          <c:invertIfNegative val="0"/>
          <c:cat>
            <c:strRef>
              <c:f>'Pivot table'!$Q$3:$Q$17</c:f>
              <c:strCache>
                <c:ptCount val="14"/>
                <c:pt idx="0">
                  <c:v>Prishtinë</c:v>
                </c:pt>
                <c:pt idx="1">
                  <c:v>Ferizaj</c:v>
                </c:pt>
                <c:pt idx="2">
                  <c:v>Rahovec</c:v>
                </c:pt>
                <c:pt idx="3">
                  <c:v>Podujevë</c:v>
                </c:pt>
                <c:pt idx="4">
                  <c:v>Drenas</c:v>
                </c:pt>
                <c:pt idx="5">
                  <c:v>Suharekë</c:v>
                </c:pt>
                <c:pt idx="6">
                  <c:v>Gjakovë</c:v>
                </c:pt>
                <c:pt idx="7">
                  <c:v>Gjilan</c:v>
                </c:pt>
                <c:pt idx="8">
                  <c:v>Prizren</c:v>
                </c:pt>
                <c:pt idx="9">
                  <c:v>Mitrovicë</c:v>
                </c:pt>
                <c:pt idx="10">
                  <c:v>Lipjan</c:v>
                </c:pt>
                <c:pt idx="11">
                  <c:v>Istog</c:v>
                </c:pt>
                <c:pt idx="12">
                  <c:v>Vushtrri</c:v>
                </c:pt>
                <c:pt idx="13">
                  <c:v>Malishevë</c:v>
                </c:pt>
              </c:strCache>
            </c:strRef>
          </c:cat>
          <c:val>
            <c:numRef>
              <c:f>'Pivot table'!$R$3:$R$17</c:f>
              <c:numCache>
                <c:formatCode>General</c:formatCode>
                <c:ptCount val="14"/>
                <c:pt idx="0">
                  <c:v>72</c:v>
                </c:pt>
                <c:pt idx="1">
                  <c:v>100</c:v>
                </c:pt>
                <c:pt idx="2">
                  <c:v>54</c:v>
                </c:pt>
                <c:pt idx="3">
                  <c:v>59</c:v>
                </c:pt>
                <c:pt idx="4">
                  <c:v>35</c:v>
                </c:pt>
                <c:pt idx="5">
                  <c:v>44</c:v>
                </c:pt>
                <c:pt idx="6">
                  <c:v>33</c:v>
                </c:pt>
                <c:pt idx="7">
                  <c:v>49</c:v>
                </c:pt>
                <c:pt idx="8">
                  <c:v>35</c:v>
                </c:pt>
                <c:pt idx="9">
                  <c:v>43</c:v>
                </c:pt>
                <c:pt idx="10">
                  <c:v>33</c:v>
                </c:pt>
                <c:pt idx="11">
                  <c:v>39</c:v>
                </c:pt>
                <c:pt idx="12">
                  <c:v>4</c:v>
                </c:pt>
                <c:pt idx="13">
                  <c:v>2</c:v>
                </c:pt>
              </c:numCache>
            </c:numRef>
          </c:val>
          <c:extLst>
            <c:ext xmlns:c16="http://schemas.microsoft.com/office/drawing/2014/chart" uri="{C3380CC4-5D6E-409C-BE32-E72D297353CC}">
              <c16:uniqueId val="{00000000-36C0-E644-9165-1F740B7212CA}"/>
            </c:ext>
          </c:extLst>
        </c:ser>
        <c:ser>
          <c:idx val="1"/>
          <c:order val="1"/>
          <c:tx>
            <c:strRef>
              <c:f>'Pivot table'!$S$2</c:f>
              <c:strCache>
                <c:ptCount val="1"/>
                <c:pt idx="0">
                  <c:v>Sum of Shitjet (€)</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table'!$Q$3:$Q$17</c:f>
              <c:strCache>
                <c:ptCount val="14"/>
                <c:pt idx="0">
                  <c:v>Prishtinë</c:v>
                </c:pt>
                <c:pt idx="1">
                  <c:v>Ferizaj</c:v>
                </c:pt>
                <c:pt idx="2">
                  <c:v>Rahovec</c:v>
                </c:pt>
                <c:pt idx="3">
                  <c:v>Podujevë</c:v>
                </c:pt>
                <c:pt idx="4">
                  <c:v>Drenas</c:v>
                </c:pt>
                <c:pt idx="5">
                  <c:v>Suharekë</c:v>
                </c:pt>
                <c:pt idx="6">
                  <c:v>Gjakovë</c:v>
                </c:pt>
                <c:pt idx="7">
                  <c:v>Gjilan</c:v>
                </c:pt>
                <c:pt idx="8">
                  <c:v>Prizren</c:v>
                </c:pt>
                <c:pt idx="9">
                  <c:v>Mitrovicë</c:v>
                </c:pt>
                <c:pt idx="10">
                  <c:v>Lipjan</c:v>
                </c:pt>
                <c:pt idx="11">
                  <c:v>Istog</c:v>
                </c:pt>
                <c:pt idx="12">
                  <c:v>Vushtrri</c:v>
                </c:pt>
                <c:pt idx="13">
                  <c:v>Malishevë</c:v>
                </c:pt>
              </c:strCache>
            </c:strRef>
          </c:cat>
          <c:val>
            <c:numRef>
              <c:f>'Pivot table'!$S$3:$S$17</c:f>
              <c:numCache>
                <c:formatCode>_([$€-2]\ * #,##0.00_);_([$€-2]\ * \(#,##0.00\);_([$€-2]\ * "-"??_);_(@_)</c:formatCode>
                <c:ptCount val="14"/>
                <c:pt idx="0">
                  <c:v>70068</c:v>
                </c:pt>
                <c:pt idx="1">
                  <c:v>72463</c:v>
                </c:pt>
                <c:pt idx="2">
                  <c:v>59069</c:v>
                </c:pt>
                <c:pt idx="3">
                  <c:v>52932</c:v>
                </c:pt>
                <c:pt idx="4">
                  <c:v>39936</c:v>
                </c:pt>
                <c:pt idx="5">
                  <c:v>40814</c:v>
                </c:pt>
                <c:pt idx="6">
                  <c:v>41052</c:v>
                </c:pt>
                <c:pt idx="7">
                  <c:v>41890</c:v>
                </c:pt>
                <c:pt idx="8">
                  <c:v>34768</c:v>
                </c:pt>
                <c:pt idx="9">
                  <c:v>33020</c:v>
                </c:pt>
                <c:pt idx="10">
                  <c:v>34673</c:v>
                </c:pt>
                <c:pt idx="11">
                  <c:v>35571</c:v>
                </c:pt>
                <c:pt idx="12">
                  <c:v>3264</c:v>
                </c:pt>
                <c:pt idx="13">
                  <c:v>1726</c:v>
                </c:pt>
              </c:numCache>
            </c:numRef>
          </c:val>
          <c:extLst>
            <c:ext xmlns:c16="http://schemas.microsoft.com/office/drawing/2014/chart" uri="{C3380CC4-5D6E-409C-BE32-E72D297353CC}">
              <c16:uniqueId val="{00000001-36C0-E644-9165-1F740B7212CA}"/>
            </c:ext>
          </c:extLst>
        </c:ser>
        <c:ser>
          <c:idx val="2"/>
          <c:order val="2"/>
          <c:tx>
            <c:strRef>
              <c:f>'Pivot table'!$T$2</c:f>
              <c:strCache>
                <c:ptCount val="1"/>
                <c:pt idx="0">
                  <c:v>Sum of Fitimi (€)</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table'!$Q$3:$Q$17</c:f>
              <c:strCache>
                <c:ptCount val="14"/>
                <c:pt idx="0">
                  <c:v>Prishtinë</c:v>
                </c:pt>
                <c:pt idx="1">
                  <c:v>Ferizaj</c:v>
                </c:pt>
                <c:pt idx="2">
                  <c:v>Rahovec</c:v>
                </c:pt>
                <c:pt idx="3">
                  <c:v>Podujevë</c:v>
                </c:pt>
                <c:pt idx="4">
                  <c:v>Drenas</c:v>
                </c:pt>
                <c:pt idx="5">
                  <c:v>Suharekë</c:v>
                </c:pt>
                <c:pt idx="6">
                  <c:v>Gjakovë</c:v>
                </c:pt>
                <c:pt idx="7">
                  <c:v>Gjilan</c:v>
                </c:pt>
                <c:pt idx="8">
                  <c:v>Prizren</c:v>
                </c:pt>
                <c:pt idx="9">
                  <c:v>Mitrovicë</c:v>
                </c:pt>
                <c:pt idx="10">
                  <c:v>Lipjan</c:v>
                </c:pt>
                <c:pt idx="11">
                  <c:v>Istog</c:v>
                </c:pt>
                <c:pt idx="12">
                  <c:v>Vushtrri</c:v>
                </c:pt>
                <c:pt idx="13">
                  <c:v>Malishevë</c:v>
                </c:pt>
              </c:strCache>
            </c:strRef>
          </c:cat>
          <c:val>
            <c:numRef>
              <c:f>'Pivot table'!$T$3:$T$17</c:f>
              <c:numCache>
                <c:formatCode>_([$€-2]\ * #,##0.00_);_([$€-2]\ * \(#,##0.00\);_([$€-2]\ * "-"??_);_(@_)</c:formatCode>
                <c:ptCount val="14"/>
                <c:pt idx="0">
                  <c:v>13374.149999999998</c:v>
                </c:pt>
                <c:pt idx="1">
                  <c:v>12971.039999999999</c:v>
                </c:pt>
                <c:pt idx="2">
                  <c:v>10052.039999999999</c:v>
                </c:pt>
                <c:pt idx="3">
                  <c:v>9610.69</c:v>
                </c:pt>
                <c:pt idx="4">
                  <c:v>8420.26</c:v>
                </c:pt>
                <c:pt idx="5">
                  <c:v>7895.7</c:v>
                </c:pt>
                <c:pt idx="6">
                  <c:v>7766.1</c:v>
                </c:pt>
                <c:pt idx="7">
                  <c:v>7334.6099999999988</c:v>
                </c:pt>
                <c:pt idx="8">
                  <c:v>6201.26</c:v>
                </c:pt>
                <c:pt idx="9">
                  <c:v>5719.01</c:v>
                </c:pt>
                <c:pt idx="10">
                  <c:v>5442.66</c:v>
                </c:pt>
                <c:pt idx="11">
                  <c:v>5106.79</c:v>
                </c:pt>
                <c:pt idx="12">
                  <c:v>641.4</c:v>
                </c:pt>
                <c:pt idx="13">
                  <c:v>257.11</c:v>
                </c:pt>
              </c:numCache>
            </c:numRef>
          </c:val>
          <c:extLst>
            <c:ext xmlns:c16="http://schemas.microsoft.com/office/drawing/2014/chart" uri="{C3380CC4-5D6E-409C-BE32-E72D297353CC}">
              <c16:uniqueId val="{00000002-36C0-E644-9165-1F740B7212CA}"/>
            </c:ext>
          </c:extLst>
        </c:ser>
        <c:dLbls>
          <c:dLblPos val="ctr"/>
          <c:showLegendKey val="0"/>
          <c:showVal val="0"/>
          <c:showCatName val="0"/>
          <c:showSerName val="0"/>
          <c:showPercent val="0"/>
          <c:showBubbleSize val="0"/>
        </c:dLbls>
        <c:gapWidth val="50"/>
        <c:overlap val="100"/>
        <c:axId val="278816800"/>
        <c:axId val="87677072"/>
      </c:barChart>
      <c:catAx>
        <c:axId val="27881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77072"/>
        <c:crosses val="autoZero"/>
        <c:auto val="1"/>
        <c:lblAlgn val="ctr"/>
        <c:lblOffset val="100"/>
        <c:noMultiLvlLbl val="0"/>
      </c:catAx>
      <c:valAx>
        <c:axId val="876770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816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[Dataset_Shitje_Kompjuterike_55_Rreshta_V2.xlsx]Pivot table!PivotTable8</c:name>
    <c:fmtId val="11"/>
  </c:pivotSource>
  <c:chart>
    <c:autoTitleDeleted val="1"/>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table'!$C$2</c:f>
              <c:strCache>
                <c:ptCount val="1"/>
                <c:pt idx="0">
                  <c:v>Sum of Shitjet (€)</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table'!$B$3:$B$15</c:f>
              <c:strCache>
                <c:ptCount val="12"/>
                <c:pt idx="0">
                  <c:v>Janar</c:v>
                </c:pt>
                <c:pt idx="1">
                  <c:v>Shkurt</c:v>
                </c:pt>
                <c:pt idx="2">
                  <c:v>Mars</c:v>
                </c:pt>
                <c:pt idx="3">
                  <c:v>Prill</c:v>
                </c:pt>
                <c:pt idx="4">
                  <c:v>Maj</c:v>
                </c:pt>
                <c:pt idx="5">
                  <c:v>Qershor</c:v>
                </c:pt>
                <c:pt idx="6">
                  <c:v>Korrik</c:v>
                </c:pt>
                <c:pt idx="7">
                  <c:v>Gusht</c:v>
                </c:pt>
                <c:pt idx="8">
                  <c:v>Shtator</c:v>
                </c:pt>
                <c:pt idx="9">
                  <c:v>Tetor</c:v>
                </c:pt>
                <c:pt idx="10">
                  <c:v>Nentor</c:v>
                </c:pt>
                <c:pt idx="11">
                  <c:v>Dhjetor</c:v>
                </c:pt>
              </c:strCache>
            </c:strRef>
          </c:cat>
          <c:val>
            <c:numRef>
              <c:f>'Pivot table'!$C$3:$C$15</c:f>
              <c:numCache>
                <c:formatCode>_([$€-2]\ * #,##0.00_);_([$€-2]\ * \(#,##0.00\);_([$€-2]\ * "-"??_);_(@_)</c:formatCode>
                <c:ptCount val="12"/>
                <c:pt idx="0">
                  <c:v>62217</c:v>
                </c:pt>
                <c:pt idx="1">
                  <c:v>19458</c:v>
                </c:pt>
                <c:pt idx="2">
                  <c:v>23589</c:v>
                </c:pt>
                <c:pt idx="3">
                  <c:v>52233</c:v>
                </c:pt>
                <c:pt idx="4">
                  <c:v>54175</c:v>
                </c:pt>
                <c:pt idx="5">
                  <c:v>29545</c:v>
                </c:pt>
                <c:pt idx="6">
                  <c:v>70927</c:v>
                </c:pt>
                <c:pt idx="7">
                  <c:v>29788</c:v>
                </c:pt>
                <c:pt idx="8">
                  <c:v>28357</c:v>
                </c:pt>
                <c:pt idx="9">
                  <c:v>29598</c:v>
                </c:pt>
                <c:pt idx="10">
                  <c:v>64978</c:v>
                </c:pt>
                <c:pt idx="11">
                  <c:v>96381</c:v>
                </c:pt>
              </c:numCache>
            </c:numRef>
          </c:val>
          <c:extLst>
            <c:ext xmlns:c16="http://schemas.microsoft.com/office/drawing/2014/chart" uri="{C3380CC4-5D6E-409C-BE32-E72D297353CC}">
              <c16:uniqueId val="{00000000-C02F-134B-963E-44F31C8AAE7B}"/>
            </c:ext>
          </c:extLst>
        </c:ser>
        <c:ser>
          <c:idx val="1"/>
          <c:order val="1"/>
          <c:tx>
            <c:strRef>
              <c:f>'Pivot table'!$D$2</c:f>
              <c:strCache>
                <c:ptCount val="1"/>
                <c:pt idx="0">
                  <c:v>Sum of Fitimi (€)</c:v>
                </c:pt>
              </c:strCache>
            </c:strRef>
          </c:tx>
          <c:spPr>
            <a:solidFill>
              <a:schemeClr val="accent2"/>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table'!$B$3:$B$15</c:f>
              <c:strCache>
                <c:ptCount val="12"/>
                <c:pt idx="0">
                  <c:v>Janar</c:v>
                </c:pt>
                <c:pt idx="1">
                  <c:v>Shkurt</c:v>
                </c:pt>
                <c:pt idx="2">
                  <c:v>Mars</c:v>
                </c:pt>
                <c:pt idx="3">
                  <c:v>Prill</c:v>
                </c:pt>
                <c:pt idx="4">
                  <c:v>Maj</c:v>
                </c:pt>
                <c:pt idx="5">
                  <c:v>Qershor</c:v>
                </c:pt>
                <c:pt idx="6">
                  <c:v>Korrik</c:v>
                </c:pt>
                <c:pt idx="7">
                  <c:v>Gusht</c:v>
                </c:pt>
                <c:pt idx="8">
                  <c:v>Shtator</c:v>
                </c:pt>
                <c:pt idx="9">
                  <c:v>Tetor</c:v>
                </c:pt>
                <c:pt idx="10">
                  <c:v>Nentor</c:v>
                </c:pt>
                <c:pt idx="11">
                  <c:v>Dhjetor</c:v>
                </c:pt>
              </c:strCache>
            </c:strRef>
          </c:cat>
          <c:val>
            <c:numRef>
              <c:f>'Pivot table'!$D$3:$D$15</c:f>
              <c:numCache>
                <c:formatCode>_([$€-2]\ * #,##0.00_);_([$€-2]\ * \(#,##0.00\);_([$€-2]\ * "-"??_);_(@_)</c:formatCode>
                <c:ptCount val="12"/>
                <c:pt idx="0">
                  <c:v>10683.75</c:v>
                </c:pt>
                <c:pt idx="1">
                  <c:v>2935.1000000000004</c:v>
                </c:pt>
                <c:pt idx="2">
                  <c:v>3281.78</c:v>
                </c:pt>
                <c:pt idx="3">
                  <c:v>9624.7099999999991</c:v>
                </c:pt>
                <c:pt idx="4">
                  <c:v>10096.77</c:v>
                </c:pt>
                <c:pt idx="5">
                  <c:v>5317.09</c:v>
                </c:pt>
                <c:pt idx="6">
                  <c:v>14488.669999999998</c:v>
                </c:pt>
                <c:pt idx="7">
                  <c:v>4710.62</c:v>
                </c:pt>
                <c:pt idx="8">
                  <c:v>5313.9000000000005</c:v>
                </c:pt>
                <c:pt idx="9">
                  <c:v>4914.7999999999993</c:v>
                </c:pt>
                <c:pt idx="10">
                  <c:v>12354.519999999999</c:v>
                </c:pt>
                <c:pt idx="11">
                  <c:v>17071.11</c:v>
                </c:pt>
              </c:numCache>
            </c:numRef>
          </c:val>
          <c:extLst>
            <c:ext xmlns:c16="http://schemas.microsoft.com/office/drawing/2014/chart" uri="{C3380CC4-5D6E-409C-BE32-E72D297353CC}">
              <c16:uniqueId val="{00000001-C02F-134B-963E-44F31C8AAE7B}"/>
            </c:ext>
          </c:extLst>
        </c:ser>
        <c:dLbls>
          <c:showLegendKey val="0"/>
          <c:showVal val="0"/>
          <c:showCatName val="0"/>
          <c:showSerName val="0"/>
          <c:showPercent val="0"/>
          <c:showBubbleSize val="0"/>
        </c:dLbls>
        <c:gapWidth val="71"/>
        <c:overlap val="100"/>
        <c:axId val="354403616"/>
        <c:axId val="353702320"/>
      </c:barChart>
      <c:catAx>
        <c:axId val="35440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702320"/>
        <c:crosses val="autoZero"/>
        <c:auto val="1"/>
        <c:lblAlgn val="ctr"/>
        <c:lblOffset val="100"/>
        <c:noMultiLvlLbl val="0"/>
      </c:catAx>
      <c:valAx>
        <c:axId val="353702320"/>
        <c:scaling>
          <c:orientation val="minMax"/>
        </c:scaling>
        <c:delete val="0"/>
        <c:axPos val="l"/>
        <c:majorGridlines>
          <c:spPr>
            <a:ln w="9525" cap="flat" cmpd="sng" algn="ctr">
              <a:solidFill>
                <a:schemeClr val="tx1">
                  <a:lumMod val="15000"/>
                  <a:lumOff val="85000"/>
                </a:schemeClr>
              </a:solidFill>
              <a:round/>
            </a:ln>
            <a:effectLst/>
          </c:spPr>
        </c:majorGridlines>
        <c:numFmt formatCode="_([$€-2]\ * #,##0.00_);_([$€-2]\ * \(#,##0.00\);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403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1</xdr:row>
      <xdr:rowOff>35332</xdr:rowOff>
    </xdr:from>
    <xdr:to>
      <xdr:col>11</xdr:col>
      <xdr:colOff>888045</xdr:colOff>
      <xdr:row>4</xdr:row>
      <xdr:rowOff>114587</xdr:rowOff>
    </xdr:to>
    <mc:AlternateContent xmlns:mc="http://schemas.openxmlformats.org/markup-compatibility/2006">
      <mc:Choice xmlns:sle15="http://schemas.microsoft.com/office/drawing/2012/slicer" Requires="sle15">
        <xdr:graphicFrame macro="">
          <xdr:nvGraphicFramePr>
            <xdr:cNvPr id="3" name="Shteti">
              <a:extLst>
                <a:ext uri="{FF2B5EF4-FFF2-40B4-BE49-F238E27FC236}">
                  <a16:creationId xmlns:a16="http://schemas.microsoft.com/office/drawing/2014/main" id="{41BF6BDA-F886-9359-D756-FA0E80FA2CD0}"/>
                </a:ext>
              </a:extLst>
            </xdr:cNvPr>
            <xdr:cNvGraphicFramePr/>
          </xdr:nvGraphicFramePr>
          <xdr:xfrm>
            <a:off x="0" y="0"/>
            <a:ext cx="0" cy="0"/>
          </xdr:xfrm>
          <a:graphic>
            <a:graphicData uri="http://schemas.microsoft.com/office/drawing/2010/slicer">
              <sle:slicer xmlns:sle="http://schemas.microsoft.com/office/drawing/2010/slicer" name="Shteti"/>
            </a:graphicData>
          </a:graphic>
        </xdr:graphicFrame>
      </mc:Choice>
      <mc:Fallback>
        <xdr:sp macro="" textlink="">
          <xdr:nvSpPr>
            <xdr:cNvPr id="0" name=""/>
            <xdr:cNvSpPr>
              <a:spLocks noTextEdit="1"/>
            </xdr:cNvSpPr>
          </xdr:nvSpPr>
          <xdr:spPr>
            <a:xfrm>
              <a:off x="0" y="221599"/>
              <a:ext cx="10658578" cy="63805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14</xdr:col>
      <xdr:colOff>456900</xdr:colOff>
      <xdr:row>45</xdr:row>
      <xdr:rowOff>56211</xdr:rowOff>
    </xdr:from>
    <xdr:to>
      <xdr:col>21</xdr:col>
      <xdr:colOff>294581</xdr:colOff>
      <xdr:row>59</xdr:row>
      <xdr:rowOff>169233</xdr:rowOff>
    </xdr:to>
    <xdr:graphicFrame macro="">
      <xdr:nvGraphicFramePr>
        <xdr:cNvPr id="8" name="Chart 7">
          <a:extLst>
            <a:ext uri="{FF2B5EF4-FFF2-40B4-BE49-F238E27FC236}">
              <a16:creationId xmlns:a16="http://schemas.microsoft.com/office/drawing/2014/main" id="{90DE0C65-1B8C-A357-DBB0-64AF9990B2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774700</xdr:colOff>
      <xdr:row>20</xdr:row>
      <xdr:rowOff>38100</xdr:rowOff>
    </xdr:from>
    <xdr:to>
      <xdr:col>10</xdr:col>
      <xdr:colOff>393700</xdr:colOff>
      <xdr:row>40</xdr:row>
      <xdr:rowOff>177800</xdr:rowOff>
    </xdr:to>
    <xdr:graphicFrame macro="">
      <xdr:nvGraphicFramePr>
        <xdr:cNvPr id="2" name="Chart 1">
          <a:extLst>
            <a:ext uri="{FF2B5EF4-FFF2-40B4-BE49-F238E27FC236}">
              <a16:creationId xmlns:a16="http://schemas.microsoft.com/office/drawing/2014/main" id="{D34322F4-8E6F-7795-A524-7C4C4ADF91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20</xdr:row>
      <xdr:rowOff>31750</xdr:rowOff>
    </xdr:from>
    <xdr:to>
      <xdr:col>17</xdr:col>
      <xdr:colOff>685800</xdr:colOff>
      <xdr:row>40</xdr:row>
      <xdr:rowOff>177800</xdr:rowOff>
    </xdr:to>
    <xdr:graphicFrame macro="">
      <xdr:nvGraphicFramePr>
        <xdr:cNvPr id="3" name="Chart 2">
          <a:extLst>
            <a:ext uri="{FF2B5EF4-FFF2-40B4-BE49-F238E27FC236}">
              <a16:creationId xmlns:a16="http://schemas.microsoft.com/office/drawing/2014/main" id="{4CFE2601-C4BF-DC1C-35BA-EF44F9AE74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647700</xdr:colOff>
      <xdr:row>20</xdr:row>
      <xdr:rowOff>158750</xdr:rowOff>
    </xdr:from>
    <xdr:to>
      <xdr:col>26</xdr:col>
      <xdr:colOff>660400</xdr:colOff>
      <xdr:row>40</xdr:row>
      <xdr:rowOff>127000</xdr:rowOff>
    </xdr:to>
    <xdr:graphicFrame macro="">
      <xdr:nvGraphicFramePr>
        <xdr:cNvPr id="5" name="Chart 4">
          <a:extLst>
            <a:ext uri="{FF2B5EF4-FFF2-40B4-BE49-F238E27FC236}">
              <a16:creationId xmlns:a16="http://schemas.microsoft.com/office/drawing/2014/main" id="{1384A882-8A63-03D0-31B5-39E01495AC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15369</xdr:colOff>
      <xdr:row>22</xdr:row>
      <xdr:rowOff>35916</xdr:rowOff>
    </xdr:from>
    <xdr:to>
      <xdr:col>4</xdr:col>
      <xdr:colOff>502337</xdr:colOff>
      <xdr:row>36</xdr:row>
      <xdr:rowOff>61154</xdr:rowOff>
    </xdr:to>
    <xdr:graphicFrame macro="">
      <xdr:nvGraphicFramePr>
        <xdr:cNvPr id="7" name="Chart 6">
          <a:extLst>
            <a:ext uri="{FF2B5EF4-FFF2-40B4-BE49-F238E27FC236}">
              <a16:creationId xmlns:a16="http://schemas.microsoft.com/office/drawing/2014/main" id="{C47B5148-FD39-0520-1ECC-4CE660255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317500</xdr:colOff>
      <xdr:row>1</xdr:row>
      <xdr:rowOff>177800</xdr:rowOff>
    </xdr:from>
    <xdr:to>
      <xdr:col>2</xdr:col>
      <xdr:colOff>609600</xdr:colOff>
      <xdr:row>15</xdr:row>
      <xdr:rowOff>76200</xdr:rowOff>
    </xdr:to>
    <xdr:sp macro="" textlink="">
      <xdr:nvSpPr>
        <xdr:cNvPr id="3" name="Rectangle 2">
          <a:extLst>
            <a:ext uri="{FF2B5EF4-FFF2-40B4-BE49-F238E27FC236}">
              <a16:creationId xmlns:a16="http://schemas.microsoft.com/office/drawing/2014/main" id="{ED2E2F81-FD01-C8D0-D2E2-F1AA8002066F}"/>
            </a:ext>
          </a:extLst>
        </xdr:cNvPr>
        <xdr:cNvSpPr/>
      </xdr:nvSpPr>
      <xdr:spPr>
        <a:xfrm>
          <a:off x="317500" y="368300"/>
          <a:ext cx="1943100" cy="25654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304800</xdr:colOff>
      <xdr:row>16</xdr:row>
      <xdr:rowOff>165100</xdr:rowOff>
    </xdr:from>
    <xdr:to>
      <xdr:col>2</xdr:col>
      <xdr:colOff>596900</xdr:colOff>
      <xdr:row>30</xdr:row>
      <xdr:rowOff>63500</xdr:rowOff>
    </xdr:to>
    <xdr:sp macro="" textlink="">
      <xdr:nvSpPr>
        <xdr:cNvPr id="4" name="Rectangle 3">
          <a:extLst>
            <a:ext uri="{FF2B5EF4-FFF2-40B4-BE49-F238E27FC236}">
              <a16:creationId xmlns:a16="http://schemas.microsoft.com/office/drawing/2014/main" id="{AEB36325-BC46-9E47-9C67-131AF9BB5670}"/>
            </a:ext>
          </a:extLst>
        </xdr:cNvPr>
        <xdr:cNvSpPr/>
      </xdr:nvSpPr>
      <xdr:spPr>
        <a:xfrm>
          <a:off x="304800" y="3213100"/>
          <a:ext cx="1943100" cy="25654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304800</xdr:colOff>
      <xdr:row>31</xdr:row>
      <xdr:rowOff>139700</xdr:rowOff>
    </xdr:from>
    <xdr:to>
      <xdr:col>2</xdr:col>
      <xdr:colOff>596900</xdr:colOff>
      <xdr:row>45</xdr:row>
      <xdr:rowOff>38100</xdr:rowOff>
    </xdr:to>
    <xdr:sp macro="" textlink="">
      <xdr:nvSpPr>
        <xdr:cNvPr id="5" name="Rectangle 4">
          <a:extLst>
            <a:ext uri="{FF2B5EF4-FFF2-40B4-BE49-F238E27FC236}">
              <a16:creationId xmlns:a16="http://schemas.microsoft.com/office/drawing/2014/main" id="{BA71B296-5421-0E42-BB32-3A4B039E53AB}"/>
            </a:ext>
          </a:extLst>
        </xdr:cNvPr>
        <xdr:cNvSpPr/>
      </xdr:nvSpPr>
      <xdr:spPr>
        <a:xfrm>
          <a:off x="304800" y="6045200"/>
          <a:ext cx="1943100" cy="25654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127000</xdr:colOff>
      <xdr:row>1</xdr:row>
      <xdr:rowOff>177800</xdr:rowOff>
    </xdr:from>
    <xdr:to>
      <xdr:col>20</xdr:col>
      <xdr:colOff>457200</xdr:colOff>
      <xdr:row>8</xdr:row>
      <xdr:rowOff>76200</xdr:rowOff>
    </xdr:to>
    <xdr:sp macro="" textlink="">
      <xdr:nvSpPr>
        <xdr:cNvPr id="6" name="Rounded Rectangle 5">
          <a:extLst>
            <a:ext uri="{FF2B5EF4-FFF2-40B4-BE49-F238E27FC236}">
              <a16:creationId xmlns:a16="http://schemas.microsoft.com/office/drawing/2014/main" id="{EA11E33D-E1C1-554F-A995-7458685362A0}"/>
            </a:ext>
          </a:extLst>
        </xdr:cNvPr>
        <xdr:cNvSpPr/>
      </xdr:nvSpPr>
      <xdr:spPr>
        <a:xfrm>
          <a:off x="2603500" y="368300"/>
          <a:ext cx="14363700" cy="12319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127000</xdr:colOff>
      <xdr:row>16</xdr:row>
      <xdr:rowOff>165100</xdr:rowOff>
    </xdr:from>
    <xdr:to>
      <xdr:col>10</xdr:col>
      <xdr:colOff>266700</xdr:colOff>
      <xdr:row>45</xdr:row>
      <xdr:rowOff>38100</xdr:rowOff>
    </xdr:to>
    <xdr:sp macro="" textlink="">
      <xdr:nvSpPr>
        <xdr:cNvPr id="7" name="Rectangle 6">
          <a:extLst>
            <a:ext uri="{FF2B5EF4-FFF2-40B4-BE49-F238E27FC236}">
              <a16:creationId xmlns:a16="http://schemas.microsoft.com/office/drawing/2014/main" id="{2AE4FAD6-86AA-F14F-8D44-34182AB88609}"/>
            </a:ext>
          </a:extLst>
        </xdr:cNvPr>
        <xdr:cNvSpPr/>
      </xdr:nvSpPr>
      <xdr:spPr>
        <a:xfrm>
          <a:off x="2603500" y="3213100"/>
          <a:ext cx="5918200" cy="5397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558800</xdr:colOff>
      <xdr:row>16</xdr:row>
      <xdr:rowOff>165100</xdr:rowOff>
    </xdr:from>
    <xdr:to>
      <xdr:col>20</xdr:col>
      <xdr:colOff>469900</xdr:colOff>
      <xdr:row>29</xdr:row>
      <xdr:rowOff>165100</xdr:rowOff>
    </xdr:to>
    <xdr:sp macro="" textlink="">
      <xdr:nvSpPr>
        <xdr:cNvPr id="8" name="Rectangle 7">
          <a:extLst>
            <a:ext uri="{FF2B5EF4-FFF2-40B4-BE49-F238E27FC236}">
              <a16:creationId xmlns:a16="http://schemas.microsoft.com/office/drawing/2014/main" id="{4E8A9937-85A5-7040-8E30-7C6CEBBA9CF9}"/>
            </a:ext>
          </a:extLst>
        </xdr:cNvPr>
        <xdr:cNvSpPr/>
      </xdr:nvSpPr>
      <xdr:spPr>
        <a:xfrm>
          <a:off x="8813800" y="3213100"/>
          <a:ext cx="8166100" cy="24765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546100</xdr:colOff>
      <xdr:row>31</xdr:row>
      <xdr:rowOff>76200</xdr:rowOff>
    </xdr:from>
    <xdr:to>
      <xdr:col>20</xdr:col>
      <xdr:colOff>457200</xdr:colOff>
      <xdr:row>45</xdr:row>
      <xdr:rowOff>25400</xdr:rowOff>
    </xdr:to>
    <xdr:sp macro="" textlink="">
      <xdr:nvSpPr>
        <xdr:cNvPr id="9" name="Rectangle 8">
          <a:extLst>
            <a:ext uri="{FF2B5EF4-FFF2-40B4-BE49-F238E27FC236}">
              <a16:creationId xmlns:a16="http://schemas.microsoft.com/office/drawing/2014/main" id="{44F80A19-3B99-9145-958F-897B5FFD599F}"/>
            </a:ext>
          </a:extLst>
        </xdr:cNvPr>
        <xdr:cNvSpPr/>
      </xdr:nvSpPr>
      <xdr:spPr>
        <a:xfrm>
          <a:off x="8801100" y="5981700"/>
          <a:ext cx="8166100" cy="2616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127000</xdr:colOff>
      <xdr:row>9</xdr:row>
      <xdr:rowOff>50800</xdr:rowOff>
    </xdr:from>
    <xdr:to>
      <xdr:col>8</xdr:col>
      <xdr:colOff>495300</xdr:colOff>
      <xdr:row>15</xdr:row>
      <xdr:rowOff>180309</xdr:rowOff>
    </xdr:to>
    <xdr:sp macro="" textlink="">
      <xdr:nvSpPr>
        <xdr:cNvPr id="10" name="Rounded Rectangle 9">
          <a:extLst>
            <a:ext uri="{FF2B5EF4-FFF2-40B4-BE49-F238E27FC236}">
              <a16:creationId xmlns:a16="http://schemas.microsoft.com/office/drawing/2014/main" id="{89AA0639-FD3B-3D4C-B5EF-BA64CCB1E6EE}"/>
            </a:ext>
          </a:extLst>
        </xdr:cNvPr>
        <xdr:cNvSpPr/>
      </xdr:nvSpPr>
      <xdr:spPr>
        <a:xfrm>
          <a:off x="2596444" y="1744133"/>
          <a:ext cx="4484041" cy="125839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698500</xdr:colOff>
      <xdr:row>9</xdr:row>
      <xdr:rowOff>63500</xdr:rowOff>
    </xdr:from>
    <xdr:to>
      <xdr:col>14</xdr:col>
      <xdr:colOff>419100</xdr:colOff>
      <xdr:row>15</xdr:row>
      <xdr:rowOff>180309</xdr:rowOff>
    </xdr:to>
    <xdr:sp macro="" textlink="">
      <xdr:nvSpPr>
        <xdr:cNvPr id="11" name="Rounded Rectangle 10">
          <a:extLst>
            <a:ext uri="{FF2B5EF4-FFF2-40B4-BE49-F238E27FC236}">
              <a16:creationId xmlns:a16="http://schemas.microsoft.com/office/drawing/2014/main" id="{6ACB7668-23A5-B846-B555-0444CA094597}"/>
            </a:ext>
          </a:extLst>
        </xdr:cNvPr>
        <xdr:cNvSpPr/>
      </xdr:nvSpPr>
      <xdr:spPr>
        <a:xfrm>
          <a:off x="7283685" y="1756833"/>
          <a:ext cx="4659489" cy="124569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622300</xdr:colOff>
      <xdr:row>9</xdr:row>
      <xdr:rowOff>50800</xdr:rowOff>
    </xdr:from>
    <xdr:to>
      <xdr:col>20</xdr:col>
      <xdr:colOff>457200</xdr:colOff>
      <xdr:row>15</xdr:row>
      <xdr:rowOff>172469</xdr:rowOff>
    </xdr:to>
    <xdr:sp macro="" textlink="">
      <xdr:nvSpPr>
        <xdr:cNvPr id="12" name="Rounded Rectangle 11">
          <a:extLst>
            <a:ext uri="{FF2B5EF4-FFF2-40B4-BE49-F238E27FC236}">
              <a16:creationId xmlns:a16="http://schemas.microsoft.com/office/drawing/2014/main" id="{FFC62C22-51C7-BD4D-B264-BF6DE8EB2D4B}"/>
            </a:ext>
          </a:extLst>
        </xdr:cNvPr>
        <xdr:cNvSpPr/>
      </xdr:nvSpPr>
      <xdr:spPr>
        <a:xfrm>
          <a:off x="12146374" y="1744133"/>
          <a:ext cx="4773789" cy="125055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419100</xdr:colOff>
      <xdr:row>2</xdr:row>
      <xdr:rowOff>165100</xdr:rowOff>
    </xdr:from>
    <xdr:to>
      <xdr:col>16</xdr:col>
      <xdr:colOff>812800</xdr:colOff>
      <xdr:row>7</xdr:row>
      <xdr:rowOff>127000</xdr:rowOff>
    </xdr:to>
    <xdr:sp macro="" textlink="">
      <xdr:nvSpPr>
        <xdr:cNvPr id="13" name="TextBox 12">
          <a:extLst>
            <a:ext uri="{FF2B5EF4-FFF2-40B4-BE49-F238E27FC236}">
              <a16:creationId xmlns:a16="http://schemas.microsoft.com/office/drawing/2014/main" id="{A22F9721-DBD5-0E58-B2F5-BB987364CABB}"/>
            </a:ext>
          </a:extLst>
        </xdr:cNvPr>
        <xdr:cNvSpPr txBox="1"/>
      </xdr:nvSpPr>
      <xdr:spPr>
        <a:xfrm>
          <a:off x="2895600" y="546100"/>
          <a:ext cx="11125200" cy="914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a:solidFill>
                <a:schemeClr val="accent1"/>
              </a:solidFill>
            </a:rPr>
            <a:t>Shitjet kompjuterike</a:t>
          </a:r>
        </a:p>
      </xdr:txBody>
    </xdr:sp>
    <xdr:clientData/>
  </xdr:twoCellAnchor>
  <xdr:twoCellAnchor>
    <xdr:from>
      <xdr:col>3</xdr:col>
      <xdr:colOff>258932</xdr:colOff>
      <xdr:row>9</xdr:row>
      <xdr:rowOff>73981</xdr:rowOff>
    </xdr:from>
    <xdr:to>
      <xdr:col>4</xdr:col>
      <xdr:colOff>209612</xdr:colOff>
      <xdr:row>11</xdr:row>
      <xdr:rowOff>36990</xdr:rowOff>
    </xdr:to>
    <xdr:sp macro="" textlink="">
      <xdr:nvSpPr>
        <xdr:cNvPr id="15" name="TextBox 14">
          <a:extLst>
            <a:ext uri="{FF2B5EF4-FFF2-40B4-BE49-F238E27FC236}">
              <a16:creationId xmlns:a16="http://schemas.microsoft.com/office/drawing/2014/main" id="{2F70A4DB-31EF-79A1-D55A-666D260778B2}"/>
            </a:ext>
          </a:extLst>
        </xdr:cNvPr>
        <xdr:cNvSpPr txBox="1"/>
      </xdr:nvSpPr>
      <xdr:spPr>
        <a:xfrm>
          <a:off x="2737282" y="1738544"/>
          <a:ext cx="776796" cy="332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1"/>
              </a:solidFill>
            </a:rPr>
            <a:t>SALES</a:t>
          </a:r>
        </a:p>
      </xdr:txBody>
    </xdr:sp>
    <xdr:clientData/>
  </xdr:twoCellAnchor>
  <xdr:twoCellAnchor>
    <xdr:from>
      <xdr:col>3</xdr:col>
      <xdr:colOff>49320</xdr:colOff>
      <xdr:row>10</xdr:row>
      <xdr:rowOff>86310</xdr:rowOff>
    </xdr:from>
    <xdr:to>
      <xdr:col>6</xdr:col>
      <xdr:colOff>715146</xdr:colOff>
      <xdr:row>14</xdr:row>
      <xdr:rowOff>160292</xdr:rowOff>
    </xdr:to>
    <xdr:sp macro="" textlink="">
      <xdr:nvSpPr>
        <xdr:cNvPr id="16" name="TextBox 15">
          <a:extLst>
            <a:ext uri="{FF2B5EF4-FFF2-40B4-BE49-F238E27FC236}">
              <a16:creationId xmlns:a16="http://schemas.microsoft.com/office/drawing/2014/main" id="{0369A802-1F54-374F-ACC7-DE946D4E9753}"/>
            </a:ext>
          </a:extLst>
        </xdr:cNvPr>
        <xdr:cNvSpPr txBox="1"/>
      </xdr:nvSpPr>
      <xdr:spPr>
        <a:xfrm>
          <a:off x="2527670" y="1935825"/>
          <a:ext cx="3144175" cy="813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4400">
              <a:solidFill>
                <a:schemeClr val="accent1"/>
              </a:solidFill>
            </a:rPr>
            <a:t> </a:t>
          </a:r>
          <a:r>
            <a:rPr lang="en-US" sz="4400" b="1" i="0" u="none" strike="noStrike">
              <a:solidFill>
                <a:schemeClr val="accent1"/>
              </a:solidFill>
              <a:effectLst/>
              <a:latin typeface="Calibri" panose="020F0502020204030204" pitchFamily="34" charset="0"/>
            </a:rPr>
            <a:t> € 561,246.0 </a:t>
          </a:r>
          <a:endParaRPr lang="en-US" sz="4400">
            <a:solidFill>
              <a:schemeClr val="accent1"/>
            </a:solidFill>
          </a:endParaRPr>
        </a:p>
      </xdr:txBody>
    </xdr:sp>
    <xdr:clientData/>
  </xdr:twoCellAnchor>
  <xdr:twoCellAnchor>
    <xdr:from>
      <xdr:col>6</xdr:col>
      <xdr:colOff>219506</xdr:colOff>
      <xdr:row>8</xdr:row>
      <xdr:rowOff>90285</xdr:rowOff>
    </xdr:from>
    <xdr:to>
      <xdr:col>9</xdr:col>
      <xdr:colOff>78396</xdr:colOff>
      <xdr:row>16</xdr:row>
      <xdr:rowOff>141112</xdr:rowOff>
    </xdr:to>
    <xdr:graphicFrame macro="">
      <xdr:nvGraphicFramePr>
        <xdr:cNvPr id="18" name="Chart 17">
          <a:extLst>
            <a:ext uri="{FF2B5EF4-FFF2-40B4-BE49-F238E27FC236}">
              <a16:creationId xmlns:a16="http://schemas.microsoft.com/office/drawing/2014/main" id="{439E068C-EF58-A14C-9E78-072818A6F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23519</xdr:colOff>
      <xdr:row>9</xdr:row>
      <xdr:rowOff>54878</xdr:rowOff>
    </xdr:from>
    <xdr:to>
      <xdr:col>10</xdr:col>
      <xdr:colOff>47038</xdr:colOff>
      <xdr:row>11</xdr:row>
      <xdr:rowOff>23519</xdr:rowOff>
    </xdr:to>
    <xdr:sp macro="" textlink="">
      <xdr:nvSpPr>
        <xdr:cNvPr id="20" name="TextBox 19">
          <a:extLst>
            <a:ext uri="{FF2B5EF4-FFF2-40B4-BE49-F238E27FC236}">
              <a16:creationId xmlns:a16="http://schemas.microsoft.com/office/drawing/2014/main" id="{1F7B9FC8-5B3D-290D-A8CF-D59AFCF2C717}"/>
            </a:ext>
          </a:extLst>
        </xdr:cNvPr>
        <xdr:cNvSpPr txBox="1"/>
      </xdr:nvSpPr>
      <xdr:spPr>
        <a:xfrm>
          <a:off x="7431852" y="1748211"/>
          <a:ext cx="846667" cy="3449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1"/>
              </a:solidFill>
            </a:rPr>
            <a:t>PROFIT</a:t>
          </a:r>
        </a:p>
      </xdr:txBody>
    </xdr:sp>
    <xdr:clientData/>
  </xdr:twoCellAnchor>
  <xdr:twoCellAnchor>
    <xdr:from>
      <xdr:col>8</xdr:col>
      <xdr:colOff>736914</xdr:colOff>
      <xdr:row>10</xdr:row>
      <xdr:rowOff>125433</xdr:rowOff>
    </xdr:from>
    <xdr:to>
      <xdr:col>12</xdr:col>
      <xdr:colOff>697716</xdr:colOff>
      <xdr:row>15</xdr:row>
      <xdr:rowOff>78395</xdr:rowOff>
    </xdr:to>
    <xdr:sp macro="" textlink="">
      <xdr:nvSpPr>
        <xdr:cNvPr id="21" name="TextBox 20">
          <a:extLst>
            <a:ext uri="{FF2B5EF4-FFF2-40B4-BE49-F238E27FC236}">
              <a16:creationId xmlns:a16="http://schemas.microsoft.com/office/drawing/2014/main" id="{9A36F41F-E61B-D471-F21F-D2E4198D1474}"/>
            </a:ext>
          </a:extLst>
        </xdr:cNvPr>
        <xdr:cNvSpPr txBox="1"/>
      </xdr:nvSpPr>
      <xdr:spPr>
        <a:xfrm>
          <a:off x="7322099" y="2006914"/>
          <a:ext cx="3253395" cy="89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4400" b="0" i="0" u="none" strike="noStrike" kern="0" cap="none" spc="0" normalizeH="0" baseline="0" noProof="0">
              <a:ln>
                <a:noFill/>
              </a:ln>
              <a:solidFill>
                <a:srgbClr val="4F81BD"/>
              </a:solidFill>
              <a:effectLst/>
              <a:uLnTx/>
              <a:uFillTx/>
              <a:latin typeface="+mn-lt"/>
              <a:ea typeface="+mn-ea"/>
              <a:cs typeface="+mn-cs"/>
            </a:rPr>
            <a:t> </a:t>
          </a:r>
          <a:r>
            <a:rPr kumimoji="0" lang="en-US" sz="4400" b="1" i="0" u="none" strike="noStrike" kern="0" cap="none" spc="0" normalizeH="0" baseline="0" noProof="0">
              <a:ln>
                <a:noFill/>
              </a:ln>
              <a:solidFill>
                <a:srgbClr val="4F81BD"/>
              </a:solidFill>
              <a:effectLst/>
              <a:uLnTx/>
              <a:uFillTx/>
              <a:latin typeface="Calibri" panose="020F0502020204030204" pitchFamily="34" charset="0"/>
              <a:ea typeface="+mn-ea"/>
              <a:cs typeface="+mn-cs"/>
            </a:rPr>
            <a:t> € 100,792.8 </a:t>
          </a:r>
          <a:endParaRPr kumimoji="0" lang="en-US" sz="4400" b="0" i="0" u="none" strike="noStrike" kern="0" cap="none" spc="0" normalizeH="0" baseline="0" noProof="0">
            <a:ln>
              <a:noFill/>
            </a:ln>
            <a:solidFill>
              <a:srgbClr val="4F81BD"/>
            </a:solidFill>
            <a:effectLst/>
            <a:uLnTx/>
            <a:uFillTx/>
            <a:latin typeface="+mn-lt"/>
            <a:ea typeface="+mn-ea"/>
            <a:cs typeface="+mn-cs"/>
          </a:endParaRPr>
        </a:p>
        <a:p>
          <a:endParaRPr lang="en-US" sz="1100"/>
        </a:p>
      </xdr:txBody>
    </xdr:sp>
    <xdr:clientData/>
  </xdr:twoCellAnchor>
  <xdr:twoCellAnchor>
    <xdr:from>
      <xdr:col>11</xdr:col>
      <xdr:colOff>541710</xdr:colOff>
      <xdr:row>8</xdr:row>
      <xdr:rowOff>31357</xdr:rowOff>
    </xdr:from>
    <xdr:to>
      <xdr:col>15</xdr:col>
      <xdr:colOff>454692</xdr:colOff>
      <xdr:row>17</xdr:row>
      <xdr:rowOff>15678</xdr:rowOff>
    </xdr:to>
    <xdr:graphicFrame macro="">
      <xdr:nvGraphicFramePr>
        <xdr:cNvPr id="22" name="Chart 21">
          <a:extLst>
            <a:ext uri="{FF2B5EF4-FFF2-40B4-BE49-F238E27FC236}">
              <a16:creationId xmlns:a16="http://schemas.microsoft.com/office/drawing/2014/main" id="{309E7DA2-75D2-B249-A725-AE395D3F3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762000</xdr:colOff>
      <xdr:row>9</xdr:row>
      <xdr:rowOff>101600</xdr:rowOff>
    </xdr:from>
    <xdr:to>
      <xdr:col>18</xdr:col>
      <xdr:colOff>406400</xdr:colOff>
      <xdr:row>10</xdr:row>
      <xdr:rowOff>165100</xdr:rowOff>
    </xdr:to>
    <xdr:sp macro="" textlink="">
      <xdr:nvSpPr>
        <xdr:cNvPr id="23" name="TextBox 22">
          <a:extLst>
            <a:ext uri="{FF2B5EF4-FFF2-40B4-BE49-F238E27FC236}">
              <a16:creationId xmlns:a16="http://schemas.microsoft.com/office/drawing/2014/main" id="{CFECDD42-2F44-3DBB-3075-27859B774511}"/>
            </a:ext>
          </a:extLst>
        </xdr:cNvPr>
        <xdr:cNvSpPr txBox="1"/>
      </xdr:nvSpPr>
      <xdr:spPr>
        <a:xfrm>
          <a:off x="12319000" y="1816100"/>
          <a:ext cx="2946400" cy="25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1"/>
              </a:solidFill>
            </a:rPr>
            <a:t>BEST MONTH SALES - DECEMBER</a:t>
          </a:r>
        </a:p>
      </xdr:txBody>
    </xdr:sp>
    <xdr:clientData/>
  </xdr:twoCellAnchor>
  <xdr:twoCellAnchor>
    <xdr:from>
      <xdr:col>15</xdr:col>
      <xdr:colOff>0</xdr:colOff>
      <xdr:row>10</xdr:row>
      <xdr:rowOff>101600</xdr:rowOff>
    </xdr:from>
    <xdr:to>
      <xdr:col>18</xdr:col>
      <xdr:colOff>571500</xdr:colOff>
      <xdr:row>15</xdr:row>
      <xdr:rowOff>76200</xdr:rowOff>
    </xdr:to>
    <xdr:sp macro="" textlink="">
      <xdr:nvSpPr>
        <xdr:cNvPr id="24" name="TextBox 23">
          <a:extLst>
            <a:ext uri="{FF2B5EF4-FFF2-40B4-BE49-F238E27FC236}">
              <a16:creationId xmlns:a16="http://schemas.microsoft.com/office/drawing/2014/main" id="{8AF57098-CC5F-DC86-734C-8C57FB9DAAFA}"/>
            </a:ext>
          </a:extLst>
        </xdr:cNvPr>
        <xdr:cNvSpPr txBox="1"/>
      </xdr:nvSpPr>
      <xdr:spPr>
        <a:xfrm>
          <a:off x="12382500" y="2006600"/>
          <a:ext cx="3048000" cy="927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1">
              <a:solidFill>
                <a:schemeClr val="accent1"/>
              </a:solidFill>
            </a:rPr>
            <a:t> </a:t>
          </a:r>
          <a:r>
            <a:rPr lang="en-US" sz="4400" b="1" i="0" u="none" strike="noStrike">
              <a:solidFill>
                <a:schemeClr val="accent1"/>
              </a:solidFill>
              <a:effectLst/>
              <a:latin typeface="+mn-lt"/>
              <a:ea typeface="+mn-ea"/>
              <a:cs typeface="+mn-cs"/>
            </a:rPr>
            <a:t>€ 96,381.00 </a:t>
          </a:r>
          <a:endParaRPr lang="en-US" sz="4400" b="1">
            <a:solidFill>
              <a:schemeClr val="accent1"/>
            </a:solidFill>
          </a:endParaRPr>
        </a:p>
      </xdr:txBody>
    </xdr:sp>
    <xdr:clientData/>
  </xdr:twoCellAnchor>
  <xdr:twoCellAnchor>
    <xdr:from>
      <xdr:col>17</xdr:col>
      <xdr:colOff>599372</xdr:colOff>
      <xdr:row>8</xdr:row>
      <xdr:rowOff>20266</xdr:rowOff>
    </xdr:from>
    <xdr:to>
      <xdr:col>21</xdr:col>
      <xdr:colOff>493137</xdr:colOff>
      <xdr:row>16</xdr:row>
      <xdr:rowOff>186177</xdr:rowOff>
    </xdr:to>
    <xdr:graphicFrame macro="">
      <xdr:nvGraphicFramePr>
        <xdr:cNvPr id="25" name="Chart 24">
          <a:extLst>
            <a:ext uri="{FF2B5EF4-FFF2-40B4-BE49-F238E27FC236}">
              <a16:creationId xmlns:a16="http://schemas.microsoft.com/office/drawing/2014/main" id="{71AB472E-03FB-014D-985F-CBAFA73156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114300</xdr:colOff>
      <xdr:row>19</xdr:row>
      <xdr:rowOff>103837</xdr:rowOff>
    </xdr:from>
    <xdr:to>
      <xdr:col>10</xdr:col>
      <xdr:colOff>304800</xdr:colOff>
      <xdr:row>45</xdr:row>
      <xdr:rowOff>50799</xdr:rowOff>
    </xdr:to>
    <xdr:graphicFrame macro="">
      <xdr:nvGraphicFramePr>
        <xdr:cNvPr id="26" name="Chart 25">
          <a:extLst>
            <a:ext uri="{FF2B5EF4-FFF2-40B4-BE49-F238E27FC236}">
              <a16:creationId xmlns:a16="http://schemas.microsoft.com/office/drawing/2014/main" id="{75B17BF1-E76A-3245-A008-46052D43B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287545</xdr:colOff>
      <xdr:row>17</xdr:row>
      <xdr:rowOff>118534</xdr:rowOff>
    </xdr:from>
    <xdr:to>
      <xdr:col>5</xdr:col>
      <xdr:colOff>551131</xdr:colOff>
      <xdr:row>19</xdr:row>
      <xdr:rowOff>67733</xdr:rowOff>
    </xdr:to>
    <xdr:sp macro="" textlink="">
      <xdr:nvSpPr>
        <xdr:cNvPr id="27" name="TextBox 26">
          <a:extLst>
            <a:ext uri="{FF2B5EF4-FFF2-40B4-BE49-F238E27FC236}">
              <a16:creationId xmlns:a16="http://schemas.microsoft.com/office/drawing/2014/main" id="{AD8E9436-C709-D966-FE45-AB4E1BB300DF}"/>
            </a:ext>
          </a:extLst>
        </xdr:cNvPr>
        <xdr:cNvSpPr txBox="1"/>
      </xdr:nvSpPr>
      <xdr:spPr>
        <a:xfrm>
          <a:off x="2755658" y="3377402"/>
          <a:ext cx="1908995" cy="3325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1"/>
              </a:solidFill>
            </a:rPr>
            <a:t>PRODUCT SALES (%)</a:t>
          </a:r>
        </a:p>
      </xdr:txBody>
    </xdr:sp>
    <xdr:clientData/>
  </xdr:twoCellAnchor>
  <xdr:twoCellAnchor>
    <xdr:from>
      <xdr:col>10</xdr:col>
      <xdr:colOff>546099</xdr:colOff>
      <xdr:row>31</xdr:row>
      <xdr:rowOff>72571</xdr:rowOff>
    </xdr:from>
    <xdr:to>
      <xdr:col>20</xdr:col>
      <xdr:colOff>453570</xdr:colOff>
      <xdr:row>45</xdr:row>
      <xdr:rowOff>31109</xdr:rowOff>
    </xdr:to>
    <xdr:graphicFrame macro="">
      <xdr:nvGraphicFramePr>
        <xdr:cNvPr id="28" name="Chart 27">
          <a:extLst>
            <a:ext uri="{FF2B5EF4-FFF2-40B4-BE49-F238E27FC236}">
              <a16:creationId xmlns:a16="http://schemas.microsoft.com/office/drawing/2014/main" id="{A968350B-8928-6949-904B-116A3C3DAD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771070</xdr:colOff>
      <xdr:row>16</xdr:row>
      <xdr:rowOff>127000</xdr:rowOff>
    </xdr:from>
    <xdr:to>
      <xdr:col>13</xdr:col>
      <xdr:colOff>635000</xdr:colOff>
      <xdr:row>18</xdr:row>
      <xdr:rowOff>108857</xdr:rowOff>
    </xdr:to>
    <xdr:sp macro="" textlink="">
      <xdr:nvSpPr>
        <xdr:cNvPr id="30" name="TextBox 29">
          <a:extLst>
            <a:ext uri="{FF2B5EF4-FFF2-40B4-BE49-F238E27FC236}">
              <a16:creationId xmlns:a16="http://schemas.microsoft.com/office/drawing/2014/main" id="{D3917C88-1528-C426-4FDF-10439BCF55CF}"/>
            </a:ext>
          </a:extLst>
        </xdr:cNvPr>
        <xdr:cNvSpPr txBox="1"/>
      </xdr:nvSpPr>
      <xdr:spPr>
        <a:xfrm>
          <a:off x="9026070" y="3175000"/>
          <a:ext cx="2340430" cy="362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accent1"/>
              </a:solidFill>
            </a:rPr>
            <a:t>MONTHS SALES &amp; </a:t>
          </a:r>
          <a:r>
            <a:rPr lang="en-US" sz="1600">
              <a:solidFill>
                <a:srgbClr val="C00000"/>
              </a:solidFill>
            </a:rPr>
            <a:t>PROFIT</a:t>
          </a:r>
        </a:p>
      </xdr:txBody>
    </xdr:sp>
    <xdr:clientData/>
  </xdr:twoCellAnchor>
  <xdr:twoCellAnchor editAs="oneCell">
    <xdr:from>
      <xdr:col>0</xdr:col>
      <xdr:colOff>304799</xdr:colOff>
      <xdr:row>16</xdr:row>
      <xdr:rowOff>182925</xdr:rowOff>
    </xdr:from>
    <xdr:to>
      <xdr:col>2</xdr:col>
      <xdr:colOff>590438</xdr:colOff>
      <xdr:row>30</xdr:row>
      <xdr:rowOff>55702</xdr:rowOff>
    </xdr:to>
    <mc:AlternateContent xmlns:mc="http://schemas.openxmlformats.org/markup-compatibility/2006">
      <mc:Choice xmlns:a14="http://schemas.microsoft.com/office/drawing/2010/main" Requires="a14">
        <xdr:graphicFrame macro="">
          <xdr:nvGraphicFramePr>
            <xdr:cNvPr id="32" name="Produkti">
              <a:extLst>
                <a:ext uri="{FF2B5EF4-FFF2-40B4-BE49-F238E27FC236}">
                  <a16:creationId xmlns:a16="http://schemas.microsoft.com/office/drawing/2014/main" id="{E976259D-FCCF-3246-B0DA-A75C0D69CA9C}"/>
                </a:ext>
              </a:extLst>
            </xdr:cNvPr>
            <xdr:cNvGraphicFramePr/>
          </xdr:nvGraphicFramePr>
          <xdr:xfrm>
            <a:off x="0" y="0"/>
            <a:ext cx="0" cy="0"/>
          </xdr:xfrm>
          <a:graphic>
            <a:graphicData uri="http://schemas.microsoft.com/office/drawing/2010/slicer">
              <sle:slicer xmlns:sle="http://schemas.microsoft.com/office/drawing/2010/slicer" name="Produkti"/>
            </a:graphicData>
          </a:graphic>
        </xdr:graphicFrame>
      </mc:Choice>
      <mc:Fallback>
        <xdr:sp macro="" textlink="">
          <xdr:nvSpPr>
            <xdr:cNvPr id="0" name=""/>
            <xdr:cNvSpPr>
              <a:spLocks noTextEdit="1"/>
            </xdr:cNvSpPr>
          </xdr:nvSpPr>
          <xdr:spPr>
            <a:xfrm>
              <a:off x="304799" y="3275099"/>
              <a:ext cx="1942161" cy="25784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304799</xdr:colOff>
      <xdr:row>31</xdr:row>
      <xdr:rowOff>174235</xdr:rowOff>
    </xdr:from>
    <xdr:to>
      <xdr:col>2</xdr:col>
      <xdr:colOff>590438</xdr:colOff>
      <xdr:row>45</xdr:row>
      <xdr:rowOff>0</xdr:rowOff>
    </xdr:to>
    <mc:AlternateContent xmlns:mc="http://schemas.openxmlformats.org/markup-compatibility/2006">
      <mc:Choice xmlns:a14="http://schemas.microsoft.com/office/drawing/2010/main" Requires="a14">
        <xdr:graphicFrame macro="">
          <xdr:nvGraphicFramePr>
            <xdr:cNvPr id="33" name="Shteti 1">
              <a:extLst>
                <a:ext uri="{FF2B5EF4-FFF2-40B4-BE49-F238E27FC236}">
                  <a16:creationId xmlns:a16="http://schemas.microsoft.com/office/drawing/2014/main" id="{F08D2C03-8B86-D84D-B9CB-6154B2D83454}"/>
                </a:ext>
              </a:extLst>
            </xdr:cNvPr>
            <xdr:cNvGraphicFramePr/>
          </xdr:nvGraphicFramePr>
          <xdr:xfrm>
            <a:off x="0" y="0"/>
            <a:ext cx="0" cy="0"/>
          </xdr:xfrm>
          <a:graphic>
            <a:graphicData uri="http://schemas.microsoft.com/office/drawing/2010/slicer">
              <sle:slicer xmlns:sle="http://schemas.microsoft.com/office/drawing/2010/slicer" name="Shteti 1"/>
            </a:graphicData>
          </a:graphic>
        </xdr:graphicFrame>
      </mc:Choice>
      <mc:Fallback>
        <xdr:sp macro="" textlink="">
          <xdr:nvSpPr>
            <xdr:cNvPr id="0" name=""/>
            <xdr:cNvSpPr>
              <a:spLocks noTextEdit="1"/>
            </xdr:cNvSpPr>
          </xdr:nvSpPr>
          <xdr:spPr>
            <a:xfrm>
              <a:off x="304799" y="6165322"/>
              <a:ext cx="1942161" cy="25314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317499</xdr:colOff>
      <xdr:row>1</xdr:row>
      <xdr:rowOff>178914</xdr:rowOff>
    </xdr:from>
    <xdr:to>
      <xdr:col>2</xdr:col>
      <xdr:colOff>601578</xdr:colOff>
      <xdr:row>15</xdr:row>
      <xdr:rowOff>89123</xdr:rowOff>
    </xdr:to>
    <mc:AlternateContent xmlns:mc="http://schemas.openxmlformats.org/markup-compatibility/2006">
      <mc:Choice xmlns:a14="http://schemas.microsoft.com/office/drawing/2010/main" Requires="a14">
        <xdr:graphicFrame macro="">
          <xdr:nvGraphicFramePr>
            <xdr:cNvPr id="34" name="Muaji">
              <a:extLst>
                <a:ext uri="{FF2B5EF4-FFF2-40B4-BE49-F238E27FC236}">
                  <a16:creationId xmlns:a16="http://schemas.microsoft.com/office/drawing/2014/main" id="{850BDAD3-901A-2041-96F0-DD46248E43A5}"/>
                </a:ext>
              </a:extLst>
            </xdr:cNvPr>
            <xdr:cNvGraphicFramePr/>
          </xdr:nvGraphicFramePr>
          <xdr:xfrm>
            <a:off x="0" y="0"/>
            <a:ext cx="0" cy="0"/>
          </xdr:xfrm>
          <a:graphic>
            <a:graphicData uri="http://schemas.microsoft.com/office/drawing/2010/slicer">
              <sle:slicer xmlns:sle="http://schemas.microsoft.com/office/drawing/2010/slicer" name="Muaji"/>
            </a:graphicData>
          </a:graphic>
        </xdr:graphicFrame>
      </mc:Choice>
      <mc:Fallback>
        <xdr:sp macro="" textlink="">
          <xdr:nvSpPr>
            <xdr:cNvPr id="0" name=""/>
            <xdr:cNvSpPr>
              <a:spLocks noTextEdit="1"/>
            </xdr:cNvSpPr>
          </xdr:nvSpPr>
          <xdr:spPr>
            <a:xfrm>
              <a:off x="317499" y="372175"/>
              <a:ext cx="1940601" cy="2615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544033</xdr:colOff>
      <xdr:row>17</xdr:row>
      <xdr:rowOff>132907</xdr:rowOff>
    </xdr:from>
    <xdr:to>
      <xdr:col>20</xdr:col>
      <xdr:colOff>457791</xdr:colOff>
      <xdr:row>29</xdr:row>
      <xdr:rowOff>177209</xdr:rowOff>
    </xdr:to>
    <xdr:graphicFrame macro="">
      <xdr:nvGraphicFramePr>
        <xdr:cNvPr id="35" name="Chart 34">
          <a:extLst>
            <a:ext uri="{FF2B5EF4-FFF2-40B4-BE49-F238E27FC236}">
              <a16:creationId xmlns:a16="http://schemas.microsoft.com/office/drawing/2014/main" id="{10DBF0F8-FC62-3B47-838C-8A82E097C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0.7455</cdr:x>
      <cdr:y>0</cdr:y>
    </cdr:from>
    <cdr:to>
      <cdr:x>1</cdr:x>
      <cdr:y>0.11056</cdr:y>
    </cdr:to>
    <cdr:sp macro="" textlink="">
      <cdr:nvSpPr>
        <cdr:cNvPr id="2" name="TextBox 1">
          <a:extLst xmlns:a="http://schemas.openxmlformats.org/drawingml/2006/main">
            <a:ext uri="{FF2B5EF4-FFF2-40B4-BE49-F238E27FC236}">
              <a16:creationId xmlns:a16="http://schemas.microsoft.com/office/drawing/2014/main" id="{C616A7B4-E423-668B-3519-F04BFA213A2F}"/>
            </a:ext>
          </a:extLst>
        </cdr:cNvPr>
        <cdr:cNvSpPr txBox="1"/>
      </cdr:nvSpPr>
      <cdr:spPr>
        <a:xfrm xmlns:a="http://schemas.openxmlformats.org/drawingml/2006/main">
          <a:off x="6085115" y="0"/>
          <a:ext cx="2077356" cy="290286"/>
        </a:xfrm>
        <a:prstGeom xmlns:a="http://schemas.openxmlformats.org/drawingml/2006/main" prst="rect">
          <a:avLst/>
        </a:prstGeom>
        <a:solidFill xmlns:a="http://schemas.openxmlformats.org/drawingml/2006/main">
          <a:schemeClr val="bg1"/>
        </a:solidFill>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r>
            <a:rPr lang="en-US" sz="1600">
              <a:solidFill>
                <a:schemeClr val="accent1"/>
              </a:solidFill>
            </a:rPr>
            <a:t>CITY'S</a:t>
          </a:r>
          <a:r>
            <a:rPr lang="en-US" sz="1600" baseline="0">
              <a:solidFill>
                <a:schemeClr val="accent1"/>
              </a:solidFill>
            </a:rPr>
            <a:t> SALES &amp; PROFIT</a:t>
          </a:r>
          <a:endParaRPr lang="en-US" sz="1600">
            <a:solidFill>
              <a:schemeClr val="accent1"/>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071.922716203706" createdVersion="8" refreshedVersion="8" minRefreshableVersion="3" recordCount="55" xr:uid="{43396263-6FC8-0A41-8D1B-E2C77594FFB0}">
  <cacheSource type="worksheet">
    <worksheetSource name="Table1"/>
  </cacheSource>
  <cacheFields count="9">
    <cacheField name="Muaji" numFmtId="0">
      <sharedItems count="12">
        <s v="Nëntor"/>
        <s v="Janar"/>
        <s v="Shtator"/>
        <s v="Korrik"/>
        <s v="Shkurt"/>
        <s v="Dhjetor"/>
        <s v="Maj"/>
        <s v="Prill"/>
        <s v="Mars"/>
        <s v="Gusht"/>
        <s v="Tetor"/>
        <s v="Qershor"/>
      </sharedItems>
    </cacheField>
    <cacheField name="Shitësi" numFmtId="0">
      <sharedItems count="8">
        <s v="Drita Hoxha"/>
        <s v="Valon Bytyqi"/>
        <s v="Luan Berisha"/>
        <s v="Elira Kelmendi"/>
        <s v="Arben Krasniqi"/>
        <s v="Besnik Thaçi"/>
        <s v="Mira Gashi"/>
        <s v="Shpresa Morina"/>
      </sharedItems>
    </cacheField>
    <cacheField name="Kategoria" numFmtId="0">
      <sharedItems count="5">
        <s v="Aksesorë"/>
        <s v="Laptopë"/>
        <s v="Desktop"/>
        <s v="Monitorë"/>
        <s v="Pajisje Gaming"/>
      </sharedItems>
    </cacheField>
    <cacheField name="Produkti" numFmtId="0">
      <sharedItems count="8">
        <s v="Lenovo ThinkPad"/>
        <s v="Logitech Mouse"/>
        <s v="Samsung Monitor"/>
        <s v="Asus ROG"/>
        <s v="MSI Gaming"/>
        <s v="Acer Aspire"/>
        <s v="Dell Inspiron"/>
        <s v="HP Pavilion"/>
      </sharedItems>
    </cacheField>
    <cacheField name="Shteti" numFmtId="0">
      <sharedItems count="14">
        <s v="Drenas"/>
        <s v="Prishtinë"/>
        <s v="Mitrovicë"/>
        <s v="Ferizaj"/>
        <s v="Prizren"/>
        <s v="Istog"/>
        <s v="Suharekë"/>
        <s v="Rahovec"/>
        <s v="Lipjan"/>
        <s v="Gjilan"/>
        <s v="Gjakovë"/>
        <s v="Podujevë"/>
        <s v="Vushtrri"/>
        <s v="Malishevë"/>
      </sharedItems>
    </cacheField>
    <cacheField name="Sasia" numFmtId="0">
      <sharedItems containsSemiMixedTypes="0" containsString="0" containsNumber="1" containsInteger="1" minValue="1" maxValue="20" count="20">
        <n v="20"/>
        <n v="10"/>
        <n v="13"/>
        <n v="7"/>
        <n v="12"/>
        <n v="5"/>
        <n v="16"/>
        <n v="19"/>
        <n v="14"/>
        <n v="11"/>
        <n v="1"/>
        <n v="2"/>
        <n v="6"/>
        <n v="17"/>
        <n v="4"/>
        <n v="15"/>
        <n v="9"/>
        <n v="3"/>
        <n v="8"/>
        <n v="18"/>
      </sharedItems>
    </cacheField>
    <cacheField name="Shitjet (€)" numFmtId="165">
      <sharedItems containsSemiMixedTypes="0" containsString="0" containsNumber="1" containsInteger="1" minValue="1299" maxValue="26760" count="53">
        <n v="23400"/>
        <n v="14430"/>
        <n v="14120"/>
        <n v="10660"/>
        <n v="3122"/>
        <n v="6228"/>
        <n v="6360"/>
        <n v="7056"/>
        <n v="14880"/>
        <n v="15408"/>
        <n v="25954"/>
        <n v="15302"/>
        <n v="2720"/>
        <n v="13057"/>
        <n v="1299"/>
        <n v="10590"/>
        <n v="2394"/>
        <n v="4386"/>
        <n v="13124"/>
        <n v="2652"/>
        <n v="5704"/>
        <n v="12980"/>
        <n v="26760"/>
        <n v="6870"/>
        <n v="18180"/>
        <n v="13594"/>
        <n v="21105"/>
        <n v="1349"/>
        <n v="5226"/>
        <n v="1755"/>
        <n v="6250"/>
        <n v="5848"/>
        <n v="3615"/>
        <n v="19008"/>
        <n v="6060"/>
        <n v="3264"/>
        <n v="14927"/>
        <n v="6600"/>
        <n v="7980"/>
        <n v="11556"/>
        <n v="4476"/>
        <n v="12771"/>
        <n v="13302"/>
        <n v="13272"/>
        <n v="13508"/>
        <n v="2130"/>
        <n v="18612"/>
        <n v="11984"/>
        <n v="25110"/>
        <n v="3913"/>
        <n v="1726"/>
        <n v="12672"/>
        <n v="7885"/>
      </sharedItems>
    </cacheField>
    <cacheField name="Fitimi (€)" numFmtId="165">
      <sharedItems containsSemiMixedTypes="0" containsString="0" containsNumber="1" minValue="257.11" maxValue="5668.62" count="55">
        <n v="4489.63"/>
        <n v="3148.69"/>
        <n v="2341.88"/>
        <n v="2247.25"/>
        <n v="436.34"/>
        <n v="830.79"/>
        <n v="751.57"/>
        <n v="1749.75"/>
        <n v="3002.59"/>
        <n v="2754.26"/>
        <n v="4519.84"/>
        <n v="2311.83"/>
        <n v="323.44"/>
        <n v="3131.99"/>
        <n v="320.01"/>
        <n v="1311.67"/>
        <n v="279.12"/>
        <n v="457.17"/>
        <n v="2755.16"/>
        <n v="617.5"/>
        <n v="1106.78"/>
        <n v="2141.2600000000002"/>
        <n v="2918.96"/>
        <n v="1352.74"/>
        <n v="3372.26"/>
        <n v="2461.9299999999998"/>
        <n v="4062.22"/>
        <n v="321.97000000000003"/>
        <n v="967.46"/>
        <n v="1418.82"/>
        <n v="438.08"/>
        <n v="1033.94"/>
        <n v="950.45"/>
        <n v="365.86"/>
        <n v="3902.19"/>
        <n v="766.07"/>
        <n v="641.4"/>
        <n v="2270.9699999999998"/>
        <n v="1398.5"/>
        <n v="890.63"/>
        <n v="1640.31"/>
        <n v="930.66"/>
        <n v="1044.77"/>
        <n v="1732.33"/>
        <n v="2547.98"/>
        <n v="2529.2199999999998"/>
        <n v="3372.54"/>
        <n v="476.67"/>
        <n v="3243.73"/>
        <n v="2465.37"/>
        <n v="5668.62"/>
        <n v="976.8"/>
        <n v="257.11"/>
        <n v="2546.34"/>
        <n v="797.4"/>
      </sharedItems>
    </cacheField>
    <cacheField name="Margin %" numFmtId="0" formula=" 0" databaseField="0"/>
  </cacheFields>
  <extLst>
    <ext xmlns:x14="http://schemas.microsoft.com/office/spreadsheetml/2009/9/main" uri="{725AE2AE-9491-48be-B2B4-4EB974FC3084}">
      <x14:pivotCacheDefinition pivotCacheId="4959903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x v="0"/>
    <x v="0"/>
    <x v="0"/>
    <x v="0"/>
    <x v="0"/>
    <x v="0"/>
    <x v="0"/>
    <x v="0"/>
  </r>
  <r>
    <x v="1"/>
    <x v="1"/>
    <x v="0"/>
    <x v="0"/>
    <x v="1"/>
    <x v="1"/>
    <x v="1"/>
    <x v="1"/>
  </r>
  <r>
    <x v="2"/>
    <x v="2"/>
    <x v="1"/>
    <x v="1"/>
    <x v="2"/>
    <x v="0"/>
    <x v="2"/>
    <x v="2"/>
  </r>
  <r>
    <x v="3"/>
    <x v="3"/>
    <x v="2"/>
    <x v="2"/>
    <x v="3"/>
    <x v="2"/>
    <x v="3"/>
    <x v="3"/>
  </r>
  <r>
    <x v="3"/>
    <x v="4"/>
    <x v="0"/>
    <x v="0"/>
    <x v="4"/>
    <x v="3"/>
    <x v="4"/>
    <x v="4"/>
  </r>
  <r>
    <x v="4"/>
    <x v="5"/>
    <x v="2"/>
    <x v="3"/>
    <x v="2"/>
    <x v="4"/>
    <x v="5"/>
    <x v="5"/>
  </r>
  <r>
    <x v="4"/>
    <x v="2"/>
    <x v="1"/>
    <x v="3"/>
    <x v="4"/>
    <x v="5"/>
    <x v="6"/>
    <x v="6"/>
  </r>
  <r>
    <x v="1"/>
    <x v="2"/>
    <x v="3"/>
    <x v="4"/>
    <x v="5"/>
    <x v="6"/>
    <x v="7"/>
    <x v="7"/>
  </r>
  <r>
    <x v="5"/>
    <x v="6"/>
    <x v="3"/>
    <x v="5"/>
    <x v="3"/>
    <x v="6"/>
    <x v="8"/>
    <x v="8"/>
  </r>
  <r>
    <x v="6"/>
    <x v="2"/>
    <x v="4"/>
    <x v="0"/>
    <x v="6"/>
    <x v="4"/>
    <x v="9"/>
    <x v="9"/>
  </r>
  <r>
    <x v="7"/>
    <x v="7"/>
    <x v="2"/>
    <x v="5"/>
    <x v="7"/>
    <x v="7"/>
    <x v="10"/>
    <x v="10"/>
  </r>
  <r>
    <x v="5"/>
    <x v="4"/>
    <x v="2"/>
    <x v="4"/>
    <x v="8"/>
    <x v="8"/>
    <x v="11"/>
    <x v="11"/>
  </r>
  <r>
    <x v="5"/>
    <x v="0"/>
    <x v="0"/>
    <x v="6"/>
    <x v="9"/>
    <x v="5"/>
    <x v="12"/>
    <x v="12"/>
  </r>
  <r>
    <x v="0"/>
    <x v="3"/>
    <x v="1"/>
    <x v="5"/>
    <x v="0"/>
    <x v="9"/>
    <x v="13"/>
    <x v="13"/>
  </r>
  <r>
    <x v="1"/>
    <x v="2"/>
    <x v="4"/>
    <x v="3"/>
    <x v="1"/>
    <x v="10"/>
    <x v="14"/>
    <x v="14"/>
  </r>
  <r>
    <x v="8"/>
    <x v="0"/>
    <x v="4"/>
    <x v="4"/>
    <x v="7"/>
    <x v="1"/>
    <x v="15"/>
    <x v="15"/>
  </r>
  <r>
    <x v="9"/>
    <x v="0"/>
    <x v="3"/>
    <x v="7"/>
    <x v="3"/>
    <x v="11"/>
    <x v="16"/>
    <x v="16"/>
  </r>
  <r>
    <x v="10"/>
    <x v="0"/>
    <x v="3"/>
    <x v="7"/>
    <x v="10"/>
    <x v="12"/>
    <x v="17"/>
    <x v="17"/>
  </r>
  <r>
    <x v="6"/>
    <x v="1"/>
    <x v="4"/>
    <x v="7"/>
    <x v="6"/>
    <x v="13"/>
    <x v="18"/>
    <x v="18"/>
  </r>
  <r>
    <x v="11"/>
    <x v="0"/>
    <x v="1"/>
    <x v="6"/>
    <x v="11"/>
    <x v="14"/>
    <x v="19"/>
    <x v="19"/>
  </r>
  <r>
    <x v="3"/>
    <x v="6"/>
    <x v="1"/>
    <x v="0"/>
    <x v="9"/>
    <x v="14"/>
    <x v="20"/>
    <x v="20"/>
  </r>
  <r>
    <x v="5"/>
    <x v="3"/>
    <x v="2"/>
    <x v="5"/>
    <x v="11"/>
    <x v="0"/>
    <x v="21"/>
    <x v="21"/>
  </r>
  <r>
    <x v="1"/>
    <x v="0"/>
    <x v="3"/>
    <x v="7"/>
    <x v="5"/>
    <x v="0"/>
    <x v="22"/>
    <x v="22"/>
  </r>
  <r>
    <x v="4"/>
    <x v="4"/>
    <x v="0"/>
    <x v="3"/>
    <x v="3"/>
    <x v="15"/>
    <x v="23"/>
    <x v="23"/>
  </r>
  <r>
    <x v="5"/>
    <x v="7"/>
    <x v="1"/>
    <x v="2"/>
    <x v="11"/>
    <x v="15"/>
    <x v="24"/>
    <x v="24"/>
  </r>
  <r>
    <x v="0"/>
    <x v="3"/>
    <x v="1"/>
    <x v="1"/>
    <x v="1"/>
    <x v="8"/>
    <x v="25"/>
    <x v="25"/>
  </r>
  <r>
    <x v="3"/>
    <x v="7"/>
    <x v="3"/>
    <x v="4"/>
    <x v="9"/>
    <x v="15"/>
    <x v="26"/>
    <x v="26"/>
  </r>
  <r>
    <x v="6"/>
    <x v="3"/>
    <x v="3"/>
    <x v="1"/>
    <x v="0"/>
    <x v="10"/>
    <x v="27"/>
    <x v="27"/>
  </r>
  <r>
    <x v="3"/>
    <x v="3"/>
    <x v="0"/>
    <x v="6"/>
    <x v="6"/>
    <x v="12"/>
    <x v="28"/>
    <x v="28"/>
  </r>
  <r>
    <x v="10"/>
    <x v="5"/>
    <x v="1"/>
    <x v="6"/>
    <x v="6"/>
    <x v="16"/>
    <x v="7"/>
    <x v="29"/>
  </r>
  <r>
    <x v="8"/>
    <x v="5"/>
    <x v="0"/>
    <x v="6"/>
    <x v="5"/>
    <x v="17"/>
    <x v="29"/>
    <x v="30"/>
  </r>
  <r>
    <x v="6"/>
    <x v="0"/>
    <x v="0"/>
    <x v="6"/>
    <x v="1"/>
    <x v="1"/>
    <x v="30"/>
    <x v="31"/>
  </r>
  <r>
    <x v="2"/>
    <x v="5"/>
    <x v="1"/>
    <x v="3"/>
    <x v="11"/>
    <x v="18"/>
    <x v="31"/>
    <x v="32"/>
  </r>
  <r>
    <x v="5"/>
    <x v="4"/>
    <x v="0"/>
    <x v="1"/>
    <x v="3"/>
    <x v="17"/>
    <x v="32"/>
    <x v="33"/>
  </r>
  <r>
    <x v="11"/>
    <x v="4"/>
    <x v="2"/>
    <x v="3"/>
    <x v="3"/>
    <x v="19"/>
    <x v="33"/>
    <x v="34"/>
  </r>
  <r>
    <x v="6"/>
    <x v="2"/>
    <x v="0"/>
    <x v="0"/>
    <x v="1"/>
    <x v="15"/>
    <x v="34"/>
    <x v="35"/>
  </r>
  <r>
    <x v="8"/>
    <x v="0"/>
    <x v="1"/>
    <x v="4"/>
    <x v="12"/>
    <x v="14"/>
    <x v="35"/>
    <x v="36"/>
  </r>
  <r>
    <x v="0"/>
    <x v="3"/>
    <x v="4"/>
    <x v="5"/>
    <x v="1"/>
    <x v="9"/>
    <x v="36"/>
    <x v="37"/>
  </r>
  <r>
    <x v="10"/>
    <x v="1"/>
    <x v="1"/>
    <x v="1"/>
    <x v="8"/>
    <x v="1"/>
    <x v="37"/>
    <x v="38"/>
  </r>
  <r>
    <x v="8"/>
    <x v="5"/>
    <x v="4"/>
    <x v="4"/>
    <x v="3"/>
    <x v="7"/>
    <x v="38"/>
    <x v="39"/>
  </r>
  <r>
    <x v="10"/>
    <x v="6"/>
    <x v="4"/>
    <x v="1"/>
    <x v="10"/>
    <x v="16"/>
    <x v="39"/>
    <x v="40"/>
  </r>
  <r>
    <x v="9"/>
    <x v="7"/>
    <x v="3"/>
    <x v="0"/>
    <x v="3"/>
    <x v="8"/>
    <x v="7"/>
    <x v="41"/>
  </r>
  <r>
    <x v="2"/>
    <x v="7"/>
    <x v="3"/>
    <x v="5"/>
    <x v="9"/>
    <x v="12"/>
    <x v="40"/>
    <x v="42"/>
  </r>
  <r>
    <x v="7"/>
    <x v="0"/>
    <x v="4"/>
    <x v="4"/>
    <x v="8"/>
    <x v="16"/>
    <x v="41"/>
    <x v="43"/>
  </r>
  <r>
    <x v="5"/>
    <x v="3"/>
    <x v="0"/>
    <x v="4"/>
    <x v="4"/>
    <x v="16"/>
    <x v="42"/>
    <x v="44"/>
  </r>
  <r>
    <x v="5"/>
    <x v="2"/>
    <x v="1"/>
    <x v="1"/>
    <x v="11"/>
    <x v="4"/>
    <x v="43"/>
    <x v="45"/>
  </r>
  <r>
    <x v="7"/>
    <x v="5"/>
    <x v="4"/>
    <x v="6"/>
    <x v="1"/>
    <x v="9"/>
    <x v="44"/>
    <x v="46"/>
  </r>
  <r>
    <x v="5"/>
    <x v="1"/>
    <x v="1"/>
    <x v="3"/>
    <x v="0"/>
    <x v="17"/>
    <x v="45"/>
    <x v="47"/>
  </r>
  <r>
    <x v="9"/>
    <x v="3"/>
    <x v="3"/>
    <x v="3"/>
    <x v="7"/>
    <x v="19"/>
    <x v="46"/>
    <x v="48"/>
  </r>
  <r>
    <x v="6"/>
    <x v="4"/>
    <x v="0"/>
    <x v="6"/>
    <x v="4"/>
    <x v="8"/>
    <x v="47"/>
    <x v="49"/>
  </r>
  <r>
    <x v="3"/>
    <x v="1"/>
    <x v="0"/>
    <x v="5"/>
    <x v="10"/>
    <x v="19"/>
    <x v="48"/>
    <x v="50"/>
  </r>
  <r>
    <x v="2"/>
    <x v="0"/>
    <x v="1"/>
    <x v="1"/>
    <x v="7"/>
    <x v="3"/>
    <x v="49"/>
    <x v="51"/>
  </r>
  <r>
    <x v="9"/>
    <x v="3"/>
    <x v="3"/>
    <x v="3"/>
    <x v="13"/>
    <x v="11"/>
    <x v="50"/>
    <x v="52"/>
  </r>
  <r>
    <x v="1"/>
    <x v="1"/>
    <x v="2"/>
    <x v="3"/>
    <x v="2"/>
    <x v="9"/>
    <x v="51"/>
    <x v="53"/>
  </r>
  <r>
    <x v="11"/>
    <x v="2"/>
    <x v="4"/>
    <x v="6"/>
    <x v="9"/>
    <x v="7"/>
    <x v="52"/>
    <x v="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930BF5-19E4-9A4F-8DA6-8A6F9A810DD4}" name="PivotTable1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2:T17" firstHeaderRow="0" firstDataRow="1" firstDataCol="1"/>
  <pivotFields count="9">
    <pivotField showAll="0">
      <items count="13">
        <item x="1"/>
        <item x="4"/>
        <item x="8"/>
        <item x="7"/>
        <item x="6"/>
        <item x="11"/>
        <item x="3"/>
        <item x="9"/>
        <item x="2"/>
        <item x="10"/>
        <item x="0"/>
        <item x="5"/>
        <item t="default"/>
      </items>
    </pivotField>
    <pivotField showAll="0"/>
    <pivotField showAll="0"/>
    <pivotField showAll="0">
      <items count="9">
        <item x="5"/>
        <item x="3"/>
        <item x="6"/>
        <item x="7"/>
        <item x="0"/>
        <item x="1"/>
        <item x="4"/>
        <item x="2"/>
        <item t="default"/>
      </items>
    </pivotField>
    <pivotField axis="axisRow" showAll="0" sortType="descending">
      <items count="15">
        <item x="0"/>
        <item x="3"/>
        <item x="10"/>
        <item x="9"/>
        <item x="5"/>
        <item x="8"/>
        <item x="13"/>
        <item x="2"/>
        <item x="11"/>
        <item x="1"/>
        <item x="4"/>
        <item x="7"/>
        <item x="6"/>
        <item x="12"/>
        <item t="default"/>
      </items>
      <autoSortScope>
        <pivotArea dataOnly="0" outline="0" fieldPosition="0">
          <references count="1">
            <reference field="4294967294" count="1" selected="0">
              <x v="2"/>
            </reference>
          </references>
        </pivotArea>
      </autoSortScope>
    </pivotField>
    <pivotField dataField="1" showAll="0"/>
    <pivotField dataField="1" numFmtId="165" showAll="0">
      <items count="54">
        <item x="14"/>
        <item x="27"/>
        <item x="50"/>
        <item x="29"/>
        <item x="45"/>
        <item x="16"/>
        <item x="19"/>
        <item x="12"/>
        <item x="4"/>
        <item x="35"/>
        <item x="32"/>
        <item x="49"/>
        <item x="17"/>
        <item x="40"/>
        <item x="28"/>
        <item x="20"/>
        <item x="31"/>
        <item x="34"/>
        <item x="5"/>
        <item x="30"/>
        <item x="6"/>
        <item x="37"/>
        <item x="23"/>
        <item x="7"/>
        <item x="52"/>
        <item x="38"/>
        <item x="15"/>
        <item x="3"/>
        <item x="39"/>
        <item x="47"/>
        <item x="51"/>
        <item x="41"/>
        <item x="21"/>
        <item x="13"/>
        <item x="18"/>
        <item x="43"/>
        <item x="42"/>
        <item x="44"/>
        <item x="25"/>
        <item x="2"/>
        <item x="1"/>
        <item x="8"/>
        <item x="36"/>
        <item x="11"/>
        <item x="9"/>
        <item x="24"/>
        <item x="46"/>
        <item x="33"/>
        <item x="26"/>
        <item x="0"/>
        <item x="48"/>
        <item x="10"/>
        <item x="22"/>
        <item t="default"/>
      </items>
    </pivotField>
    <pivotField dataField="1" numFmtId="165" showAll="0"/>
    <pivotField dragToRow="0" dragToCol="0" dragToPage="0" showAll="0" defaultSubtotal="0"/>
  </pivotFields>
  <rowFields count="1">
    <field x="4"/>
  </rowFields>
  <rowItems count="15">
    <i>
      <x v="9"/>
    </i>
    <i>
      <x v="1"/>
    </i>
    <i>
      <x v="11"/>
    </i>
    <i>
      <x v="8"/>
    </i>
    <i>
      <x/>
    </i>
    <i>
      <x v="12"/>
    </i>
    <i>
      <x v="2"/>
    </i>
    <i>
      <x v="3"/>
    </i>
    <i>
      <x v="10"/>
    </i>
    <i>
      <x v="7"/>
    </i>
    <i>
      <x v="5"/>
    </i>
    <i>
      <x v="4"/>
    </i>
    <i>
      <x v="13"/>
    </i>
    <i>
      <x v="6"/>
    </i>
    <i t="grand">
      <x/>
    </i>
  </rowItems>
  <colFields count="1">
    <field x="-2"/>
  </colFields>
  <colItems count="3">
    <i>
      <x/>
    </i>
    <i i="1">
      <x v="1"/>
    </i>
    <i i="2">
      <x v="2"/>
    </i>
  </colItems>
  <dataFields count="3">
    <dataField name="Sum of Sasia" fld="5" baseField="0" baseItem="0"/>
    <dataField name="Sum of Shitjet (€)" fld="6" baseField="0" baseItem="0" numFmtId="164"/>
    <dataField name="Sum of Fitimi (€)" fld="7" baseField="0" baseItem="0" numFmtId="164"/>
  </dataFields>
  <formats count="1">
    <format dxfId="34">
      <pivotArea outline="0" collapsedLevelsAreSubtotals="1" fieldPosition="0">
        <references count="1">
          <reference field="4294967294" count="2" selected="0">
            <x v="1"/>
            <x v="2"/>
          </reference>
        </references>
      </pivotArea>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3B7340-7031-534D-892D-C7EB747CCDA3}" name="PivotTable10"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2:N8" firstHeaderRow="0" firstDataRow="1" firstDataCol="1"/>
  <pivotFields count="9">
    <pivotField showAll="0">
      <items count="13">
        <item x="1"/>
        <item x="4"/>
        <item x="8"/>
        <item x="7"/>
        <item x="6"/>
        <item x="11"/>
        <item x="3"/>
        <item x="9"/>
        <item x="2"/>
        <item x="10"/>
        <item x="0"/>
        <item x="5"/>
        <item t="default"/>
      </items>
    </pivotField>
    <pivotField showAll="0"/>
    <pivotField axis="axisRow" showAll="0" sortType="descending">
      <items count="6">
        <item x="0"/>
        <item x="2"/>
        <item x="1"/>
        <item x="3"/>
        <item x="4"/>
        <item t="default"/>
      </items>
      <autoSortScope>
        <pivotArea dataOnly="0" outline="0" fieldPosition="0">
          <references count="1">
            <reference field="4294967294" count="1" selected="0">
              <x v="1"/>
            </reference>
          </references>
        </pivotArea>
      </autoSortScope>
    </pivotField>
    <pivotField dataField="1" showAll="0">
      <items count="9">
        <item x="5"/>
        <item x="3"/>
        <item x="6"/>
        <item x="7"/>
        <item x="0"/>
        <item x="1"/>
        <item x="4"/>
        <item x="2"/>
        <item t="default"/>
      </items>
    </pivotField>
    <pivotField showAll="0">
      <items count="15">
        <item x="0"/>
        <item x="3"/>
        <item x="10"/>
        <item x="9"/>
        <item x="5"/>
        <item x="8"/>
        <item x="13"/>
        <item x="2"/>
        <item x="11"/>
        <item x="1"/>
        <item x="4"/>
        <item x="7"/>
        <item x="6"/>
        <item x="12"/>
        <item t="default"/>
      </items>
    </pivotField>
    <pivotField showAll="0"/>
    <pivotField dataField="1" numFmtId="165" showAll="0">
      <items count="54">
        <item x="14"/>
        <item x="27"/>
        <item x="50"/>
        <item x="29"/>
        <item x="45"/>
        <item x="16"/>
        <item x="19"/>
        <item x="12"/>
        <item x="4"/>
        <item x="35"/>
        <item x="32"/>
        <item x="49"/>
        <item x="17"/>
        <item x="40"/>
        <item x="28"/>
        <item x="20"/>
        <item x="31"/>
        <item x="34"/>
        <item x="5"/>
        <item x="30"/>
        <item x="6"/>
        <item x="37"/>
        <item x="23"/>
        <item x="7"/>
        <item x="52"/>
        <item x="38"/>
        <item x="15"/>
        <item x="3"/>
        <item x="39"/>
        <item x="47"/>
        <item x="51"/>
        <item x="41"/>
        <item x="21"/>
        <item x="13"/>
        <item x="18"/>
        <item x="43"/>
        <item x="42"/>
        <item x="44"/>
        <item x="25"/>
        <item x="2"/>
        <item x="1"/>
        <item x="8"/>
        <item x="36"/>
        <item x="11"/>
        <item x="9"/>
        <item x="24"/>
        <item x="46"/>
        <item x="33"/>
        <item x="26"/>
        <item x="0"/>
        <item x="48"/>
        <item x="10"/>
        <item x="22"/>
        <item t="default"/>
      </items>
    </pivotField>
    <pivotField numFmtId="165" showAll="0"/>
    <pivotField dragToRow="0" dragToCol="0" dragToPage="0" showAll="0" defaultSubtotal="0"/>
  </pivotFields>
  <rowFields count="1">
    <field x="2"/>
  </rowFields>
  <rowItems count="6">
    <i>
      <x/>
    </i>
    <i>
      <x v="2"/>
    </i>
    <i>
      <x v="3"/>
    </i>
    <i>
      <x v="4"/>
    </i>
    <i>
      <x v="1"/>
    </i>
    <i t="grand">
      <x/>
    </i>
  </rowItems>
  <colFields count="1">
    <field x="-2"/>
  </colFields>
  <colItems count="2">
    <i>
      <x/>
    </i>
    <i i="1">
      <x v="1"/>
    </i>
  </colItems>
  <dataFields count="2">
    <dataField name="Count of Produkti" fld="3" subtotal="count" baseField="0" baseItem="0"/>
    <dataField name="Sum of Shitjet (€)" fld="6" baseField="0" baseItem="0" numFmtId="164"/>
  </dataFields>
  <formats count="1">
    <format dxfId="35">
      <pivotArea outline="0" collapsedLevelsAreSubtotals="1" fieldPosition="0">
        <references count="1">
          <reference field="4294967294" count="1" selected="0">
            <x v="1"/>
          </reference>
        </references>
      </pivotArea>
    </format>
  </formats>
  <chartFormats count="1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4"/>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0"/>
          </reference>
          <reference field="2" count="1" selected="0">
            <x v="2"/>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2" count="1" selected="0">
            <x v="0"/>
          </reference>
        </references>
      </pivotArea>
    </chartFormat>
    <chartFormat chart="4" format="21">
      <pivotArea type="data" outline="0" fieldPosition="0">
        <references count="2">
          <reference field="4294967294" count="1" selected="0">
            <x v="0"/>
          </reference>
          <reference field="2" count="1" selected="0">
            <x v="2"/>
          </reference>
        </references>
      </pivotArea>
    </chartFormat>
    <chartFormat chart="4" format="22">
      <pivotArea type="data" outline="0" fieldPosition="0">
        <references count="2">
          <reference field="4294967294" count="1" selected="0">
            <x v="0"/>
          </reference>
          <reference field="2" count="1" selected="0">
            <x v="3"/>
          </reference>
        </references>
      </pivotArea>
    </chartFormat>
    <chartFormat chart="4" format="23">
      <pivotArea type="data" outline="0" fieldPosition="0">
        <references count="2">
          <reference field="4294967294" count="1" selected="0">
            <x v="0"/>
          </reference>
          <reference field="2" count="1" selected="0">
            <x v="4"/>
          </reference>
        </references>
      </pivotArea>
    </chartFormat>
    <chartFormat chart="4" format="24">
      <pivotArea type="data" outline="0" fieldPosition="0">
        <references count="2">
          <reference field="4294967294" count="1" selected="0">
            <x v="0"/>
          </reference>
          <reference field="2" count="1" selected="0">
            <x v="1"/>
          </reference>
        </references>
      </pivotArea>
    </chartFormat>
    <chartFormat chart="4" format="25" series="1">
      <pivotArea type="data" outline="0" fieldPosition="0">
        <references count="1">
          <reference field="4294967294" count="1" selected="0">
            <x v="1"/>
          </reference>
        </references>
      </pivotArea>
    </chartFormat>
    <chartFormat chart="4" format="26">
      <pivotArea type="data" outline="0" fieldPosition="0">
        <references count="2">
          <reference field="4294967294" count="1" selected="0">
            <x v="1"/>
          </reference>
          <reference field="2" count="1" selected="0">
            <x v="0"/>
          </reference>
        </references>
      </pivotArea>
    </chartFormat>
    <chartFormat chart="4" format="27">
      <pivotArea type="data" outline="0" fieldPosition="0">
        <references count="2">
          <reference field="4294967294" count="1" selected="0">
            <x v="1"/>
          </reference>
          <reference field="2" count="1" selected="0">
            <x v="2"/>
          </reference>
        </references>
      </pivotArea>
    </chartFormat>
    <chartFormat chart="4" format="28">
      <pivotArea type="data" outline="0" fieldPosition="0">
        <references count="2">
          <reference field="4294967294" count="1" selected="0">
            <x v="1"/>
          </reference>
          <reference field="2" count="1" selected="0">
            <x v="3"/>
          </reference>
        </references>
      </pivotArea>
    </chartFormat>
    <chartFormat chart="4" format="29">
      <pivotArea type="data" outline="0" fieldPosition="0">
        <references count="2">
          <reference field="4294967294" count="1" selected="0">
            <x v="1"/>
          </reference>
          <reference field="2" count="1" selected="0">
            <x v="4"/>
          </reference>
        </references>
      </pivotArea>
    </chartFormat>
    <chartFormat chart="4" format="30">
      <pivotArea type="data" outline="0" fieldPosition="0">
        <references count="2">
          <reference field="4294967294" count="1" selected="0">
            <x v="1"/>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634319-AA6F-514E-924A-51777B432749}"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I11" firstHeaderRow="0" firstDataRow="1" firstDataCol="1"/>
  <pivotFields count="9">
    <pivotField showAll="0">
      <items count="13">
        <item x="1"/>
        <item x="4"/>
        <item x="8"/>
        <item x="7"/>
        <item x="6"/>
        <item x="11"/>
        <item x="3"/>
        <item x="9"/>
        <item x="2"/>
        <item x="10"/>
        <item x="0"/>
        <item x="5"/>
        <item t="default"/>
      </items>
    </pivotField>
    <pivotField axis="axisRow" showAll="0" sortType="descending">
      <items count="9">
        <item x="4"/>
        <item x="5"/>
        <item x="0"/>
        <item x="3"/>
        <item x="2"/>
        <item x="6"/>
        <item x="7"/>
        <item x="1"/>
        <item t="default"/>
      </items>
      <autoSortScope>
        <pivotArea dataOnly="0" outline="0" fieldPosition="0">
          <references count="1">
            <reference field="4294967294" count="1" selected="0">
              <x v="1"/>
            </reference>
          </references>
        </pivotArea>
      </autoSortScope>
    </pivotField>
    <pivotField showAll="0"/>
    <pivotField showAll="0">
      <items count="9">
        <item x="5"/>
        <item x="3"/>
        <item x="6"/>
        <item x="7"/>
        <item x="0"/>
        <item x="1"/>
        <item x="4"/>
        <item x="2"/>
        <item t="default"/>
      </items>
    </pivotField>
    <pivotField showAll="0">
      <items count="15">
        <item x="0"/>
        <item x="3"/>
        <item x="10"/>
        <item x="9"/>
        <item x="5"/>
        <item x="8"/>
        <item x="13"/>
        <item x="2"/>
        <item x="11"/>
        <item x="1"/>
        <item x="4"/>
        <item x="7"/>
        <item x="6"/>
        <item x="12"/>
        <item t="default"/>
      </items>
    </pivotField>
    <pivotField showAll="0"/>
    <pivotField dataField="1" numFmtId="165" showAll="0">
      <items count="54">
        <item x="14"/>
        <item x="27"/>
        <item x="50"/>
        <item x="29"/>
        <item x="45"/>
        <item x="16"/>
        <item x="19"/>
        <item x="12"/>
        <item x="4"/>
        <item x="35"/>
        <item x="32"/>
        <item x="49"/>
        <item x="17"/>
        <item x="40"/>
        <item x="28"/>
        <item x="20"/>
        <item x="31"/>
        <item x="34"/>
        <item x="5"/>
        <item x="30"/>
        <item x="6"/>
        <item x="37"/>
        <item x="23"/>
        <item x="7"/>
        <item x="52"/>
        <item x="38"/>
        <item x="15"/>
        <item x="3"/>
        <item x="39"/>
        <item x="47"/>
        <item x="51"/>
        <item x="41"/>
        <item x="21"/>
        <item x="13"/>
        <item x="18"/>
        <item x="43"/>
        <item x="42"/>
        <item x="44"/>
        <item x="25"/>
        <item x="2"/>
        <item x="1"/>
        <item x="8"/>
        <item x="36"/>
        <item x="11"/>
        <item x="9"/>
        <item x="24"/>
        <item x="46"/>
        <item x="33"/>
        <item x="26"/>
        <item x="0"/>
        <item x="48"/>
        <item x="10"/>
        <item x="22"/>
        <item t="default"/>
      </items>
    </pivotField>
    <pivotField dataField="1" numFmtId="165" showAll="0"/>
    <pivotField dragToRow="0" dragToCol="0" dragToPage="0" showAll="0" defaultSubtotal="0"/>
  </pivotFields>
  <rowFields count="1">
    <field x="1"/>
  </rowFields>
  <rowItems count="9">
    <i>
      <x v="3"/>
    </i>
    <i>
      <x v="7"/>
    </i>
    <i>
      <x v="2"/>
    </i>
    <i>
      <x v="6"/>
    </i>
    <i>
      <x v="4"/>
    </i>
    <i>
      <x/>
    </i>
    <i>
      <x v="1"/>
    </i>
    <i>
      <x v="5"/>
    </i>
    <i t="grand">
      <x/>
    </i>
  </rowItems>
  <colFields count="1">
    <field x="-2"/>
  </colFields>
  <colItems count="2">
    <i>
      <x/>
    </i>
    <i i="1">
      <x v="1"/>
    </i>
  </colItems>
  <dataFields count="2">
    <dataField name="Sum of Shitjet (€)" fld="6" baseField="0" baseItem="0"/>
    <dataField name="Sum of Fitimi (€)" fld="7" baseField="0" baseItem="0"/>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F6495F-2DB0-084A-91A0-74FA45F31FC6}"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2:D15" firstHeaderRow="0" firstDataRow="1" firstDataCol="1"/>
  <pivotFields count="9">
    <pivotField axis="axisRow" showAll="0" sortType="ascending">
      <items count="13">
        <item x="1"/>
        <item x="4"/>
        <item x="8"/>
        <item x="7"/>
        <item x="6"/>
        <item x="11"/>
        <item x="3"/>
        <item x="9"/>
        <item x="2"/>
        <item x="10"/>
        <item n="Nentor" x="0"/>
        <item x="5"/>
        <item t="default"/>
      </items>
    </pivotField>
    <pivotField showAll="0"/>
    <pivotField showAll="0"/>
    <pivotField showAll="0">
      <items count="9">
        <item x="5"/>
        <item x="3"/>
        <item x="6"/>
        <item x="7"/>
        <item x="0"/>
        <item x="1"/>
        <item x="4"/>
        <item x="2"/>
        <item t="default"/>
      </items>
    </pivotField>
    <pivotField showAll="0">
      <items count="15">
        <item x="0"/>
        <item x="3"/>
        <item x="10"/>
        <item x="9"/>
        <item x="5"/>
        <item x="8"/>
        <item x="13"/>
        <item x="2"/>
        <item x="11"/>
        <item x="1"/>
        <item x="4"/>
        <item x="7"/>
        <item x="6"/>
        <item x="12"/>
        <item t="default"/>
      </items>
    </pivotField>
    <pivotField showAll="0"/>
    <pivotField dataField="1" numFmtId="165" showAll="0">
      <items count="54">
        <item x="14"/>
        <item x="27"/>
        <item x="50"/>
        <item x="29"/>
        <item x="45"/>
        <item x="16"/>
        <item x="19"/>
        <item x="12"/>
        <item x="4"/>
        <item x="35"/>
        <item x="32"/>
        <item x="49"/>
        <item x="17"/>
        <item x="40"/>
        <item x="28"/>
        <item x="20"/>
        <item x="31"/>
        <item x="34"/>
        <item x="5"/>
        <item x="30"/>
        <item x="6"/>
        <item x="37"/>
        <item x="23"/>
        <item x="7"/>
        <item x="52"/>
        <item x="38"/>
        <item x="15"/>
        <item x="3"/>
        <item x="39"/>
        <item x="47"/>
        <item x="51"/>
        <item x="41"/>
        <item x="21"/>
        <item x="13"/>
        <item x="18"/>
        <item x="43"/>
        <item x="42"/>
        <item x="44"/>
        <item x="25"/>
        <item x="2"/>
        <item x="1"/>
        <item x="8"/>
        <item x="36"/>
        <item x="11"/>
        <item x="9"/>
        <item x="24"/>
        <item x="46"/>
        <item x="33"/>
        <item x="26"/>
        <item x="0"/>
        <item x="48"/>
        <item x="10"/>
        <item x="22"/>
        <item t="default"/>
      </items>
    </pivotField>
    <pivotField dataField="1" numFmtId="165" showAll="0"/>
    <pivotField dragToRow="0" dragToCol="0" dragToPage="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Shitjet (€)" fld="6" baseField="0" baseItem="0"/>
    <dataField name="Sum of Fitimi (€)" fld="7" baseField="0" baseItem="0"/>
  </dataFields>
  <formats count="1">
    <format dxfId="3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kti" xr10:uid="{A7DEFE89-8F5F-174D-8AA1-F5E070D47517}" sourceName="Produkti">
  <pivotTables>
    <pivotTable tabId="2" name="PivotTable8"/>
    <pivotTable tabId="2" name="PivotTable10"/>
    <pivotTable tabId="2" name="PivotTable11"/>
    <pivotTable tabId="2" name="PivotTable9"/>
  </pivotTables>
  <data>
    <tabular pivotCacheId="495990348">
      <items count="8">
        <i x="5" s="1"/>
        <i x="3" s="1"/>
        <i x="6" s="1"/>
        <i x="7"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teti1" xr10:uid="{DF8D526C-F7E5-0C42-8F32-20D0B34106AE}" sourceName="Shteti">
  <pivotTables>
    <pivotTable tabId="2" name="PivotTable8"/>
    <pivotTable tabId="2" name="PivotTable10"/>
    <pivotTable tabId="2" name="PivotTable11"/>
    <pivotTable tabId="2" name="PivotTable9"/>
  </pivotTables>
  <data>
    <tabular pivotCacheId="495990348">
      <items count="14">
        <i x="0" s="1"/>
        <i x="3" s="1"/>
        <i x="10" s="1"/>
        <i x="9" s="1"/>
        <i x="5" s="1"/>
        <i x="8" s="1"/>
        <i x="13" s="1"/>
        <i x="2" s="1"/>
        <i x="11" s="1"/>
        <i x="1" s="1"/>
        <i x="4" s="1"/>
        <i x="7" s="1"/>
        <i x="6"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uaji" xr10:uid="{0502E349-9270-8846-A7CB-C8F47E9E6407}" sourceName="Muaji">
  <pivotTables>
    <pivotTable tabId="2" name="PivotTable8"/>
    <pivotTable tabId="2" name="PivotTable10"/>
    <pivotTable tabId="2" name="PivotTable11"/>
    <pivotTable tabId="2" name="PivotTable9"/>
  </pivotTables>
  <data>
    <tabular pivotCacheId="495990348">
      <items count="12">
        <i x="1" s="1"/>
        <i x="4" s="1"/>
        <i x="8" s="1"/>
        <i x="7" s="1"/>
        <i x="6" s="1"/>
        <i x="11" s="1"/>
        <i x="3" s="1"/>
        <i x="9" s="1"/>
        <i x="2" s="1"/>
        <i x="10" s="1"/>
        <i x="0"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teti" xr10:uid="{F4BB5B08-A8A8-3647-AE5F-702CED2BC765}" sourceName="Qyteti">
  <extLst>
    <x:ext xmlns:x15="http://schemas.microsoft.com/office/spreadsheetml/2010/11/main" uri="{2F2917AC-EB37-4324-AD4E-5DD8C200BD13}">
      <x15:tableSlicerCache tableId="1"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teti" xr10:uid="{E4726479-7E82-184F-9C6E-F5914E80D07C}" cache="Slicer_Shteti" caption="Qyteti" columnCount="14"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kti" xr10:uid="{0C9AAB8E-8679-F148-94F9-8245DBA644BD}" cache="Slicer_Produkti" caption="Produkti" rowHeight="230716"/>
  <slicer name="Shteti 1" xr10:uid="{F307916B-8EDC-BD4C-A137-1F38E07C758B}" cache="Slicer_Shteti1" caption="Shteti" startItem="1" rowHeight="230716"/>
  <slicer name="Muaji" xr10:uid="{313F3AD9-2DEE-264A-B75E-38F2202DB399}" cache="Slicer_Muaji" caption="Muaji" startItem="4"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3B6923-FCB7-6B42-9AA1-B7BC7D2D1599}" name="Table1" displayName="Table1" ref="A8:I64" totalsRowCount="1">
  <autoFilter ref="A8:I63" xr:uid="{3B3B6923-FCB7-6B42-9AA1-B7BC7D2D1599}"/>
  <tableColumns count="9">
    <tableColumn id="1" xr3:uid="{8DD751AE-20B1-5249-8CEE-F7F596E89A34}" name="Muaji"/>
    <tableColumn id="2" xr3:uid="{10C13E9D-0C07-D84B-8427-07E80FE7D81D}" name="Shitësi"/>
    <tableColumn id="3" xr3:uid="{98C9B894-103A-4A44-A808-B04810888AD1}" name="Kategoria"/>
    <tableColumn id="4" xr3:uid="{37E4630A-800F-0A4A-A314-0D38365FCE74}" name="Produkti"/>
    <tableColumn id="5" xr3:uid="{7F00F834-0B61-C94B-A53D-684F8C1155F3}" name="Qyteti"/>
    <tableColumn id="6" xr3:uid="{4A01ADB3-C3D8-2A4A-8187-C2D93E7B830A}" name="Sasia"/>
    <tableColumn id="7" xr3:uid="{F540CB91-2DE5-6440-A0F4-CA55ABEA9EEE}" name="Shitjet (€)" totalsRowFunction="custom" dataDxfId="33" totalsRowDxfId="30" totalsRowCellStyle="Good">
      <totalsRowFormula>SUM(Table1[Shitjet (€)])</totalsRowFormula>
    </tableColumn>
    <tableColumn id="8" xr3:uid="{B702B734-ED9D-FB48-86AD-1D3DDAD22B65}" name="Fitimi (€)" totalsRowFunction="custom" dataDxfId="32" totalsRowDxfId="29" totalsRowCellStyle="Good">
      <totalsRowFormula>SUM(Table1[Fitimi (€)])</totalsRowFormula>
    </tableColumn>
    <tableColumn id="9" xr3:uid="{3DD5B8A2-1F4E-4B4E-AF44-F88360014133}" name="Margin %" totalsRowFunction="custom" dataDxfId="31" totalsRowDxfId="28" totalsRowCellStyle="Good">
      <calculatedColumnFormula>Table1[[#This Row],[Fitimi (€)]]/Table1[[#This Row],[Shitjet (€)]]</calculatedColumnFormula>
      <totalsRowFormula>AVERAGE(Table1[Margin %])</totalsRow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8:N64"/>
  <sheetViews>
    <sheetView zoomScale="75" workbookViewId="0">
      <selection activeCell="N14" sqref="N14"/>
    </sheetView>
  </sheetViews>
  <sheetFormatPr baseColWidth="10" defaultColWidth="8.83203125" defaultRowHeight="15" x14ac:dyDescent="0.2"/>
  <cols>
    <col min="1" max="1" width="8" customWidth="1"/>
    <col min="2" max="2" width="12.83203125" bestFit="1" customWidth="1"/>
    <col min="3" max="3" width="12.1640625" bestFit="1" customWidth="1"/>
    <col min="4" max="4" width="14.5" bestFit="1" customWidth="1"/>
    <col min="6" max="6" width="7.1640625" customWidth="1"/>
    <col min="7" max="7" width="15.5" customWidth="1"/>
    <col min="8" max="8" width="18.6640625" customWidth="1"/>
    <col min="9" max="9" width="12.6640625" customWidth="1"/>
    <col min="12" max="12" width="15.83203125" customWidth="1"/>
  </cols>
  <sheetData>
    <row r="8" spans="1:9" x14ac:dyDescent="0.2">
      <c r="A8" t="s">
        <v>0</v>
      </c>
      <c r="B8" t="s">
        <v>1</v>
      </c>
      <c r="C8" t="s">
        <v>2</v>
      </c>
      <c r="D8" t="s">
        <v>3</v>
      </c>
      <c r="E8" t="s">
        <v>62</v>
      </c>
      <c r="F8" t="s">
        <v>4</v>
      </c>
      <c r="G8" t="s">
        <v>5</v>
      </c>
      <c r="H8" t="s">
        <v>6</v>
      </c>
      <c r="I8" t="s">
        <v>61</v>
      </c>
    </row>
    <row r="9" spans="1:9" x14ac:dyDescent="0.2">
      <c r="A9" t="s">
        <v>7</v>
      </c>
      <c r="B9" t="s">
        <v>8</v>
      </c>
      <c r="C9" t="s">
        <v>9</v>
      </c>
      <c r="D9" t="s">
        <v>10</v>
      </c>
      <c r="E9" t="s">
        <v>11</v>
      </c>
      <c r="F9">
        <v>20</v>
      </c>
      <c r="G9" s="2">
        <v>23400</v>
      </c>
      <c r="H9" s="2">
        <v>4489.63</v>
      </c>
      <c r="I9" s="6">
        <f>Table1[[#This Row],[Fitimi (€)]]/Table1[[#This Row],[Shitjet (€)]]</f>
        <v>0.19186452991452993</v>
      </c>
    </row>
    <row r="10" spans="1:9" x14ac:dyDescent="0.2">
      <c r="A10" t="s">
        <v>12</v>
      </c>
      <c r="B10" t="s">
        <v>13</v>
      </c>
      <c r="C10" t="s">
        <v>9</v>
      </c>
      <c r="D10" t="s">
        <v>10</v>
      </c>
      <c r="E10" t="s">
        <v>14</v>
      </c>
      <c r="F10">
        <v>10</v>
      </c>
      <c r="G10" s="2">
        <v>14430</v>
      </c>
      <c r="H10" s="2">
        <v>3148.69</v>
      </c>
      <c r="I10" s="6">
        <f>Table1[[#This Row],[Fitimi (€)]]/Table1[[#This Row],[Shitjet (€)]]</f>
        <v>0.21820443520443522</v>
      </c>
    </row>
    <row r="11" spans="1:9" x14ac:dyDescent="0.2">
      <c r="A11" t="s">
        <v>15</v>
      </c>
      <c r="B11" t="s">
        <v>16</v>
      </c>
      <c r="C11" t="s">
        <v>17</v>
      </c>
      <c r="D11" t="s">
        <v>18</v>
      </c>
      <c r="E11" t="s">
        <v>19</v>
      </c>
      <c r="F11">
        <v>20</v>
      </c>
      <c r="G11" s="2">
        <v>14120</v>
      </c>
      <c r="H11" s="2">
        <v>2341.88</v>
      </c>
      <c r="I11" s="6">
        <f>Table1[[#This Row],[Fitimi (€)]]/Table1[[#This Row],[Shitjet (€)]]</f>
        <v>0.16585552407932011</v>
      </c>
    </row>
    <row r="12" spans="1:9" x14ac:dyDescent="0.2">
      <c r="A12" t="s">
        <v>20</v>
      </c>
      <c r="B12" t="s">
        <v>21</v>
      </c>
      <c r="C12" t="s">
        <v>22</v>
      </c>
      <c r="D12" t="s">
        <v>23</v>
      </c>
      <c r="E12" t="s">
        <v>24</v>
      </c>
      <c r="F12">
        <v>13</v>
      </c>
      <c r="G12" s="2">
        <v>10660</v>
      </c>
      <c r="H12" s="2">
        <v>2247.25</v>
      </c>
      <c r="I12" s="6">
        <f>Table1[[#This Row],[Fitimi (€)]]/Table1[[#This Row],[Shitjet (€)]]</f>
        <v>0.21081144465290808</v>
      </c>
    </row>
    <row r="13" spans="1:9" x14ac:dyDescent="0.2">
      <c r="A13" t="s">
        <v>20</v>
      </c>
      <c r="B13" t="s">
        <v>25</v>
      </c>
      <c r="C13" t="s">
        <v>9</v>
      </c>
      <c r="D13" t="s">
        <v>10</v>
      </c>
      <c r="E13" t="s">
        <v>26</v>
      </c>
      <c r="F13">
        <v>7</v>
      </c>
      <c r="G13" s="2">
        <v>3122</v>
      </c>
      <c r="H13" s="2">
        <v>436.34</v>
      </c>
      <c r="I13" s="6">
        <f>Table1[[#This Row],[Fitimi (€)]]/Table1[[#This Row],[Shitjet (€)]]</f>
        <v>0.1397629724535554</v>
      </c>
    </row>
    <row r="14" spans="1:9" x14ac:dyDescent="0.2">
      <c r="A14" t="s">
        <v>27</v>
      </c>
      <c r="B14" t="s">
        <v>28</v>
      </c>
      <c r="C14" t="s">
        <v>22</v>
      </c>
      <c r="D14" t="s">
        <v>29</v>
      </c>
      <c r="E14" t="s">
        <v>19</v>
      </c>
      <c r="F14">
        <v>12</v>
      </c>
      <c r="G14" s="2">
        <v>6228</v>
      </c>
      <c r="H14" s="2">
        <v>830.79</v>
      </c>
      <c r="I14" s="6">
        <f>Table1[[#This Row],[Fitimi (€)]]/Table1[[#This Row],[Shitjet (€)]]</f>
        <v>0.13339595375722543</v>
      </c>
    </row>
    <row r="15" spans="1:9" x14ac:dyDescent="0.2">
      <c r="A15" t="s">
        <v>27</v>
      </c>
      <c r="B15" t="s">
        <v>16</v>
      </c>
      <c r="C15" t="s">
        <v>17</v>
      </c>
      <c r="D15" t="s">
        <v>29</v>
      </c>
      <c r="E15" t="s">
        <v>26</v>
      </c>
      <c r="F15">
        <v>5</v>
      </c>
      <c r="G15" s="2">
        <v>6360</v>
      </c>
      <c r="H15" s="2">
        <v>751.57</v>
      </c>
      <c r="I15" s="6">
        <f>Table1[[#This Row],[Fitimi (€)]]/Table1[[#This Row],[Shitjet (€)]]</f>
        <v>0.11817138364779875</v>
      </c>
    </row>
    <row r="16" spans="1:9" x14ac:dyDescent="0.2">
      <c r="A16" t="s">
        <v>12</v>
      </c>
      <c r="B16" t="s">
        <v>16</v>
      </c>
      <c r="C16" t="s">
        <v>30</v>
      </c>
      <c r="D16" t="s">
        <v>31</v>
      </c>
      <c r="E16" t="s">
        <v>32</v>
      </c>
      <c r="F16">
        <v>16</v>
      </c>
      <c r="G16" s="2">
        <v>7056</v>
      </c>
      <c r="H16" s="2">
        <v>1749.75</v>
      </c>
      <c r="I16" s="6">
        <f>Table1[[#This Row],[Fitimi (€)]]/Table1[[#This Row],[Shitjet (€)]]</f>
        <v>0.24798044217687074</v>
      </c>
    </row>
    <row r="17" spans="1:9" x14ac:dyDescent="0.2">
      <c r="A17" t="s">
        <v>33</v>
      </c>
      <c r="B17" t="s">
        <v>34</v>
      </c>
      <c r="C17" t="s">
        <v>30</v>
      </c>
      <c r="D17" t="s">
        <v>35</v>
      </c>
      <c r="E17" t="s">
        <v>24</v>
      </c>
      <c r="F17">
        <v>16</v>
      </c>
      <c r="G17" s="2">
        <v>14880</v>
      </c>
      <c r="H17" s="2">
        <v>3002.59</v>
      </c>
      <c r="I17" s="6">
        <f>Table1[[#This Row],[Fitimi (€)]]/Table1[[#This Row],[Shitjet (€)]]</f>
        <v>0.2017869623655914</v>
      </c>
    </row>
    <row r="18" spans="1:9" x14ac:dyDescent="0.2">
      <c r="A18" t="s">
        <v>36</v>
      </c>
      <c r="B18" t="s">
        <v>16</v>
      </c>
      <c r="C18" t="s">
        <v>37</v>
      </c>
      <c r="D18" t="s">
        <v>10</v>
      </c>
      <c r="E18" t="s">
        <v>38</v>
      </c>
      <c r="F18">
        <v>12</v>
      </c>
      <c r="G18" s="2">
        <v>15408</v>
      </c>
      <c r="H18" s="2">
        <v>2754.26</v>
      </c>
      <c r="I18" s="6">
        <f>Table1[[#This Row],[Fitimi (€)]]/Table1[[#This Row],[Shitjet (€)]]</f>
        <v>0.17875519210799587</v>
      </c>
    </row>
    <row r="19" spans="1:9" x14ac:dyDescent="0.2">
      <c r="A19" t="s">
        <v>39</v>
      </c>
      <c r="B19" t="s">
        <v>40</v>
      </c>
      <c r="C19" t="s">
        <v>22</v>
      </c>
      <c r="D19" t="s">
        <v>35</v>
      </c>
      <c r="E19" t="s">
        <v>41</v>
      </c>
      <c r="F19">
        <v>19</v>
      </c>
      <c r="G19" s="2">
        <v>25954</v>
      </c>
      <c r="H19" s="2">
        <v>4519.84</v>
      </c>
      <c r="I19" s="6">
        <f>Table1[[#This Row],[Fitimi (€)]]/Table1[[#This Row],[Shitjet (€)]]</f>
        <v>0.17414810819141557</v>
      </c>
    </row>
    <row r="20" spans="1:9" x14ac:dyDescent="0.2">
      <c r="A20" t="s">
        <v>33</v>
      </c>
      <c r="B20" t="s">
        <v>25</v>
      </c>
      <c r="C20" t="s">
        <v>22</v>
      </c>
      <c r="D20" t="s">
        <v>31</v>
      </c>
      <c r="E20" t="s">
        <v>42</v>
      </c>
      <c r="F20">
        <v>14</v>
      </c>
      <c r="G20" s="2">
        <v>15302</v>
      </c>
      <c r="H20" s="2">
        <v>2311.83</v>
      </c>
      <c r="I20" s="6">
        <f>Table1[[#This Row],[Fitimi (€)]]/Table1[[#This Row],[Shitjet (€)]]</f>
        <v>0.15108025094758853</v>
      </c>
    </row>
    <row r="21" spans="1:9" x14ac:dyDescent="0.2">
      <c r="A21" t="s">
        <v>33</v>
      </c>
      <c r="B21" t="s">
        <v>8</v>
      </c>
      <c r="C21" t="s">
        <v>9</v>
      </c>
      <c r="D21" t="s">
        <v>43</v>
      </c>
      <c r="E21" t="s">
        <v>44</v>
      </c>
      <c r="F21">
        <v>5</v>
      </c>
      <c r="G21" s="2">
        <v>2720</v>
      </c>
      <c r="H21" s="2">
        <v>323.44</v>
      </c>
      <c r="I21" s="6">
        <f>Table1[[#This Row],[Fitimi (€)]]/Table1[[#This Row],[Shitjet (€)]]</f>
        <v>0.11891176470588236</v>
      </c>
    </row>
    <row r="22" spans="1:9" x14ac:dyDescent="0.2">
      <c r="A22" t="s">
        <v>7</v>
      </c>
      <c r="B22" t="s">
        <v>21</v>
      </c>
      <c r="C22" t="s">
        <v>17</v>
      </c>
      <c r="D22" t="s">
        <v>35</v>
      </c>
      <c r="E22" t="s">
        <v>11</v>
      </c>
      <c r="F22">
        <v>11</v>
      </c>
      <c r="G22" s="2">
        <v>13057</v>
      </c>
      <c r="H22" s="2">
        <v>3131.99</v>
      </c>
      <c r="I22" s="6">
        <f>Table1[[#This Row],[Fitimi (€)]]/Table1[[#This Row],[Shitjet (€)]]</f>
        <v>0.23987056751167954</v>
      </c>
    </row>
    <row r="23" spans="1:9" x14ac:dyDescent="0.2">
      <c r="A23" t="s">
        <v>12</v>
      </c>
      <c r="B23" t="s">
        <v>16</v>
      </c>
      <c r="C23" t="s">
        <v>37</v>
      </c>
      <c r="D23" t="s">
        <v>29</v>
      </c>
      <c r="E23" t="s">
        <v>14</v>
      </c>
      <c r="F23">
        <v>1</v>
      </c>
      <c r="G23" s="2">
        <v>1299</v>
      </c>
      <c r="H23" s="2">
        <v>320.01</v>
      </c>
      <c r="I23" s="6">
        <f>Table1[[#This Row],[Fitimi (€)]]/Table1[[#This Row],[Shitjet (€)]]</f>
        <v>0.24635103926096996</v>
      </c>
    </row>
    <row r="24" spans="1:9" x14ac:dyDescent="0.2">
      <c r="A24" t="s">
        <v>45</v>
      </c>
      <c r="B24" t="s">
        <v>8</v>
      </c>
      <c r="C24" t="s">
        <v>37</v>
      </c>
      <c r="D24" t="s">
        <v>31</v>
      </c>
      <c r="E24" t="s">
        <v>41</v>
      </c>
      <c r="F24">
        <v>10</v>
      </c>
      <c r="G24" s="2">
        <v>10590</v>
      </c>
      <c r="H24" s="2">
        <v>1311.67</v>
      </c>
      <c r="I24" s="6">
        <f>Table1[[#This Row],[Fitimi (€)]]/Table1[[#This Row],[Shitjet (€)]]</f>
        <v>0.12385930122757319</v>
      </c>
    </row>
    <row r="25" spans="1:9" x14ac:dyDescent="0.2">
      <c r="A25" t="s">
        <v>46</v>
      </c>
      <c r="B25" t="s">
        <v>8</v>
      </c>
      <c r="C25" t="s">
        <v>30</v>
      </c>
      <c r="D25" t="s">
        <v>47</v>
      </c>
      <c r="E25" t="s">
        <v>24</v>
      </c>
      <c r="F25">
        <v>2</v>
      </c>
      <c r="G25" s="2">
        <v>2394</v>
      </c>
      <c r="H25" s="2">
        <v>279.12</v>
      </c>
      <c r="I25" s="6">
        <f>Table1[[#This Row],[Fitimi (€)]]/Table1[[#This Row],[Shitjet (€)]]</f>
        <v>0.11659147869674186</v>
      </c>
    </row>
    <row r="26" spans="1:9" x14ac:dyDescent="0.2">
      <c r="A26" t="s">
        <v>48</v>
      </c>
      <c r="B26" t="s">
        <v>8</v>
      </c>
      <c r="C26" t="s">
        <v>30</v>
      </c>
      <c r="D26" t="s">
        <v>47</v>
      </c>
      <c r="E26" t="s">
        <v>49</v>
      </c>
      <c r="F26">
        <v>6</v>
      </c>
      <c r="G26" s="2">
        <v>4386</v>
      </c>
      <c r="H26" s="2">
        <v>457.17</v>
      </c>
      <c r="I26" s="6">
        <f>Table1[[#This Row],[Fitimi (€)]]/Table1[[#This Row],[Shitjet (€)]]</f>
        <v>0.10423392612859098</v>
      </c>
    </row>
    <row r="27" spans="1:9" x14ac:dyDescent="0.2">
      <c r="A27" t="s">
        <v>36</v>
      </c>
      <c r="B27" t="s">
        <v>13</v>
      </c>
      <c r="C27" t="s">
        <v>37</v>
      </c>
      <c r="D27" t="s">
        <v>47</v>
      </c>
      <c r="E27" t="s">
        <v>38</v>
      </c>
      <c r="F27">
        <v>17</v>
      </c>
      <c r="G27" s="2">
        <v>13124</v>
      </c>
      <c r="H27" s="2">
        <v>2755.16</v>
      </c>
      <c r="I27" s="6">
        <f>Table1[[#This Row],[Fitimi (€)]]/Table1[[#This Row],[Shitjet (€)]]</f>
        <v>0.2099329472721731</v>
      </c>
    </row>
    <row r="28" spans="1:9" x14ac:dyDescent="0.2">
      <c r="A28" t="s">
        <v>50</v>
      </c>
      <c r="B28" t="s">
        <v>8</v>
      </c>
      <c r="C28" t="s">
        <v>17</v>
      </c>
      <c r="D28" t="s">
        <v>43</v>
      </c>
      <c r="E28" t="s">
        <v>51</v>
      </c>
      <c r="F28">
        <v>4</v>
      </c>
      <c r="G28" s="2">
        <v>2652</v>
      </c>
      <c r="H28" s="2">
        <v>617.5</v>
      </c>
      <c r="I28" s="6">
        <f>Table1[[#This Row],[Fitimi (€)]]/Table1[[#This Row],[Shitjet (€)]]</f>
        <v>0.23284313725490197</v>
      </c>
    </row>
    <row r="29" spans="1:9" x14ac:dyDescent="0.2">
      <c r="A29" t="s">
        <v>20</v>
      </c>
      <c r="B29" t="s">
        <v>34</v>
      </c>
      <c r="C29" t="s">
        <v>17</v>
      </c>
      <c r="D29" t="s">
        <v>10</v>
      </c>
      <c r="E29" t="s">
        <v>44</v>
      </c>
      <c r="F29">
        <v>4</v>
      </c>
      <c r="G29" s="2">
        <v>5704</v>
      </c>
      <c r="H29" s="2">
        <v>1106.78</v>
      </c>
      <c r="I29" s="6">
        <f>Table1[[#This Row],[Fitimi (€)]]/Table1[[#This Row],[Shitjet (€)]]</f>
        <v>0.19403576437587658</v>
      </c>
    </row>
    <row r="30" spans="1:9" x14ac:dyDescent="0.2">
      <c r="A30" t="s">
        <v>33</v>
      </c>
      <c r="B30" t="s">
        <v>21</v>
      </c>
      <c r="C30" t="s">
        <v>22</v>
      </c>
      <c r="D30" t="s">
        <v>35</v>
      </c>
      <c r="E30" t="s">
        <v>51</v>
      </c>
      <c r="F30">
        <v>20</v>
      </c>
      <c r="G30" s="2">
        <v>12980</v>
      </c>
      <c r="H30" s="2">
        <v>2141.2600000000002</v>
      </c>
      <c r="I30" s="6">
        <f>Table1[[#This Row],[Fitimi (€)]]/Table1[[#This Row],[Shitjet (€)]]</f>
        <v>0.16496610169491527</v>
      </c>
    </row>
    <row r="31" spans="1:9" x14ac:dyDescent="0.2">
      <c r="A31" t="s">
        <v>12</v>
      </c>
      <c r="B31" t="s">
        <v>8</v>
      </c>
      <c r="C31" t="s">
        <v>30</v>
      </c>
      <c r="D31" t="s">
        <v>47</v>
      </c>
      <c r="E31" t="s">
        <v>32</v>
      </c>
      <c r="F31">
        <v>20</v>
      </c>
      <c r="G31" s="2">
        <v>26760</v>
      </c>
      <c r="H31" s="2">
        <v>2918.96</v>
      </c>
      <c r="I31" s="6">
        <f>Table1[[#This Row],[Fitimi (€)]]/Table1[[#This Row],[Shitjet (€)]]</f>
        <v>0.10907922272047833</v>
      </c>
    </row>
    <row r="32" spans="1:9" x14ac:dyDescent="0.2">
      <c r="A32" t="s">
        <v>27</v>
      </c>
      <c r="B32" t="s">
        <v>25</v>
      </c>
      <c r="C32" t="s">
        <v>9</v>
      </c>
      <c r="D32" t="s">
        <v>29</v>
      </c>
      <c r="E32" t="s">
        <v>24</v>
      </c>
      <c r="F32">
        <v>15</v>
      </c>
      <c r="G32" s="2">
        <v>6870</v>
      </c>
      <c r="H32" s="2">
        <v>1352.74</v>
      </c>
      <c r="I32" s="6">
        <f>Table1[[#This Row],[Fitimi (€)]]/Table1[[#This Row],[Shitjet (€)]]</f>
        <v>0.19690538573508007</v>
      </c>
    </row>
    <row r="33" spans="1:9" x14ac:dyDescent="0.2">
      <c r="A33" t="s">
        <v>33</v>
      </c>
      <c r="B33" t="s">
        <v>40</v>
      </c>
      <c r="C33" t="s">
        <v>17</v>
      </c>
      <c r="D33" t="s">
        <v>23</v>
      </c>
      <c r="E33" t="s">
        <v>51</v>
      </c>
      <c r="F33">
        <v>15</v>
      </c>
      <c r="G33" s="2">
        <v>18180</v>
      </c>
      <c r="H33" s="2">
        <v>3372.26</v>
      </c>
      <c r="I33" s="6">
        <f>Table1[[#This Row],[Fitimi (€)]]/Table1[[#This Row],[Shitjet (€)]]</f>
        <v>0.18549284928492851</v>
      </c>
    </row>
    <row r="34" spans="1:9" x14ac:dyDescent="0.2">
      <c r="A34" t="s">
        <v>7</v>
      </c>
      <c r="B34" t="s">
        <v>21</v>
      </c>
      <c r="C34" t="s">
        <v>17</v>
      </c>
      <c r="D34" t="s">
        <v>18</v>
      </c>
      <c r="E34" t="s">
        <v>14</v>
      </c>
      <c r="F34">
        <v>14</v>
      </c>
      <c r="G34" s="2">
        <v>13594</v>
      </c>
      <c r="H34" s="2">
        <v>2461.9299999999998</v>
      </c>
      <c r="I34" s="6">
        <f>Table1[[#This Row],[Fitimi (€)]]/Table1[[#This Row],[Shitjet (€)]]</f>
        <v>0.18110416360158893</v>
      </c>
    </row>
    <row r="35" spans="1:9" x14ac:dyDescent="0.2">
      <c r="A35" t="s">
        <v>20</v>
      </c>
      <c r="B35" t="s">
        <v>40</v>
      </c>
      <c r="C35" t="s">
        <v>30</v>
      </c>
      <c r="D35" t="s">
        <v>31</v>
      </c>
      <c r="E35" t="s">
        <v>44</v>
      </c>
      <c r="F35">
        <v>15</v>
      </c>
      <c r="G35" s="2">
        <v>21105</v>
      </c>
      <c r="H35" s="2">
        <v>4062.22</v>
      </c>
      <c r="I35" s="6">
        <f>Table1[[#This Row],[Fitimi (€)]]/Table1[[#This Row],[Shitjet (€)]]</f>
        <v>0.1924766642975598</v>
      </c>
    </row>
    <row r="36" spans="1:9" x14ac:dyDescent="0.2">
      <c r="A36" t="s">
        <v>36</v>
      </c>
      <c r="B36" t="s">
        <v>21</v>
      </c>
      <c r="C36" t="s">
        <v>30</v>
      </c>
      <c r="D36" t="s">
        <v>18</v>
      </c>
      <c r="E36" t="s">
        <v>11</v>
      </c>
      <c r="F36">
        <v>1</v>
      </c>
      <c r="G36" s="2">
        <v>1349</v>
      </c>
      <c r="H36" s="2">
        <v>321.97000000000003</v>
      </c>
      <c r="I36" s="6">
        <f>Table1[[#This Row],[Fitimi (€)]]/Table1[[#This Row],[Shitjet (€)]]</f>
        <v>0.23867309117865088</v>
      </c>
    </row>
    <row r="37" spans="1:9" x14ac:dyDescent="0.2">
      <c r="A37" t="s">
        <v>20</v>
      </c>
      <c r="B37" t="s">
        <v>21</v>
      </c>
      <c r="C37" t="s">
        <v>9</v>
      </c>
      <c r="D37" t="s">
        <v>43</v>
      </c>
      <c r="E37" t="s">
        <v>38</v>
      </c>
      <c r="F37">
        <v>6</v>
      </c>
      <c r="G37" s="2">
        <v>5226</v>
      </c>
      <c r="H37" s="2">
        <v>967.46</v>
      </c>
      <c r="I37" s="6">
        <f>Table1[[#This Row],[Fitimi (€)]]/Table1[[#This Row],[Shitjet (€)]]</f>
        <v>0.18512437810945273</v>
      </c>
    </row>
    <row r="38" spans="1:9" x14ac:dyDescent="0.2">
      <c r="A38" t="s">
        <v>48</v>
      </c>
      <c r="B38" t="s">
        <v>28</v>
      </c>
      <c r="C38" t="s">
        <v>17</v>
      </c>
      <c r="D38" t="s">
        <v>43</v>
      </c>
      <c r="E38" t="s">
        <v>38</v>
      </c>
      <c r="F38">
        <v>9</v>
      </c>
      <c r="G38" s="2">
        <v>7056</v>
      </c>
      <c r="H38" s="2">
        <v>1418.82</v>
      </c>
      <c r="I38" s="6">
        <f>Table1[[#This Row],[Fitimi (€)]]/Table1[[#This Row],[Shitjet (€)]]</f>
        <v>0.20107993197278912</v>
      </c>
    </row>
    <row r="39" spans="1:9" x14ac:dyDescent="0.2">
      <c r="A39" t="s">
        <v>45</v>
      </c>
      <c r="B39" t="s">
        <v>28</v>
      </c>
      <c r="C39" t="s">
        <v>9</v>
      </c>
      <c r="D39" t="s">
        <v>43</v>
      </c>
      <c r="E39" t="s">
        <v>32</v>
      </c>
      <c r="F39">
        <v>3</v>
      </c>
      <c r="G39" s="2">
        <v>1755</v>
      </c>
      <c r="H39" s="2">
        <v>438.08</v>
      </c>
      <c r="I39" s="6">
        <f>Table1[[#This Row],[Fitimi (€)]]/Table1[[#This Row],[Shitjet (€)]]</f>
        <v>0.2496182336182336</v>
      </c>
    </row>
    <row r="40" spans="1:9" x14ac:dyDescent="0.2">
      <c r="A40" t="s">
        <v>36</v>
      </c>
      <c r="B40" t="s">
        <v>8</v>
      </c>
      <c r="C40" t="s">
        <v>9</v>
      </c>
      <c r="D40" t="s">
        <v>43</v>
      </c>
      <c r="E40" t="s">
        <v>14</v>
      </c>
      <c r="F40">
        <v>10</v>
      </c>
      <c r="G40" s="2">
        <v>6250</v>
      </c>
      <c r="H40" s="2">
        <v>1033.94</v>
      </c>
      <c r="I40" s="6">
        <f>Table1[[#This Row],[Fitimi (€)]]/Table1[[#This Row],[Shitjet (€)]]</f>
        <v>0.16543040000000001</v>
      </c>
    </row>
    <row r="41" spans="1:9" x14ac:dyDescent="0.2">
      <c r="A41" t="s">
        <v>15</v>
      </c>
      <c r="B41" t="s">
        <v>28</v>
      </c>
      <c r="C41" t="s">
        <v>17</v>
      </c>
      <c r="D41" t="s">
        <v>29</v>
      </c>
      <c r="E41" t="s">
        <v>51</v>
      </c>
      <c r="F41">
        <v>8</v>
      </c>
      <c r="G41" s="2">
        <v>5848</v>
      </c>
      <c r="H41" s="2">
        <v>950.45</v>
      </c>
      <c r="I41" s="6">
        <f>Table1[[#This Row],[Fitimi (€)]]/Table1[[#This Row],[Shitjet (€)]]</f>
        <v>0.16252564979480166</v>
      </c>
    </row>
    <row r="42" spans="1:9" x14ac:dyDescent="0.2">
      <c r="A42" t="s">
        <v>33</v>
      </c>
      <c r="B42" t="s">
        <v>25</v>
      </c>
      <c r="C42" t="s">
        <v>9</v>
      </c>
      <c r="D42" t="s">
        <v>18</v>
      </c>
      <c r="E42" t="s">
        <v>24</v>
      </c>
      <c r="F42">
        <v>3</v>
      </c>
      <c r="G42" s="2">
        <v>3615</v>
      </c>
      <c r="H42" s="2">
        <v>365.86</v>
      </c>
      <c r="I42" s="6">
        <f>Table1[[#This Row],[Fitimi (€)]]/Table1[[#This Row],[Shitjet (€)]]</f>
        <v>0.1012060857538036</v>
      </c>
    </row>
    <row r="43" spans="1:9" x14ac:dyDescent="0.2">
      <c r="A43" t="s">
        <v>50</v>
      </c>
      <c r="B43" t="s">
        <v>25</v>
      </c>
      <c r="C43" t="s">
        <v>22</v>
      </c>
      <c r="D43" t="s">
        <v>29</v>
      </c>
      <c r="E43" t="s">
        <v>24</v>
      </c>
      <c r="F43">
        <v>18</v>
      </c>
      <c r="G43" s="2">
        <v>19008</v>
      </c>
      <c r="H43" s="2">
        <v>3902.19</v>
      </c>
      <c r="I43" s="6">
        <f>Table1[[#This Row],[Fitimi (€)]]/Table1[[#This Row],[Shitjet (€)]]</f>
        <v>0.20529198232323231</v>
      </c>
    </row>
    <row r="44" spans="1:9" x14ac:dyDescent="0.2">
      <c r="A44" t="s">
        <v>36</v>
      </c>
      <c r="B44" t="s">
        <v>16</v>
      </c>
      <c r="C44" t="s">
        <v>9</v>
      </c>
      <c r="D44" t="s">
        <v>10</v>
      </c>
      <c r="E44" t="s">
        <v>14</v>
      </c>
      <c r="F44">
        <v>15</v>
      </c>
      <c r="G44" s="2">
        <v>6060</v>
      </c>
      <c r="H44" s="2">
        <v>766.07</v>
      </c>
      <c r="I44" s="6">
        <f>Table1[[#This Row],[Fitimi (€)]]/Table1[[#This Row],[Shitjet (€)]]</f>
        <v>0.12641419141914192</v>
      </c>
    </row>
    <row r="45" spans="1:9" x14ac:dyDescent="0.2">
      <c r="A45" t="s">
        <v>45</v>
      </c>
      <c r="B45" t="s">
        <v>8</v>
      </c>
      <c r="C45" t="s">
        <v>17</v>
      </c>
      <c r="D45" t="s">
        <v>31</v>
      </c>
      <c r="E45" t="s">
        <v>52</v>
      </c>
      <c r="F45">
        <v>4</v>
      </c>
      <c r="G45" s="2">
        <v>3264</v>
      </c>
      <c r="H45" s="2">
        <v>641.4</v>
      </c>
      <c r="I45" s="6">
        <f>Table1[[#This Row],[Fitimi (€)]]/Table1[[#This Row],[Shitjet (€)]]</f>
        <v>0.19650735294117647</v>
      </c>
    </row>
    <row r="46" spans="1:9" x14ac:dyDescent="0.2">
      <c r="A46" t="s">
        <v>7</v>
      </c>
      <c r="B46" t="s">
        <v>21</v>
      </c>
      <c r="C46" t="s">
        <v>37</v>
      </c>
      <c r="D46" t="s">
        <v>35</v>
      </c>
      <c r="E46" t="s">
        <v>14</v>
      </c>
      <c r="F46">
        <v>11</v>
      </c>
      <c r="G46" s="2">
        <v>14927</v>
      </c>
      <c r="H46" s="2">
        <v>2270.9699999999998</v>
      </c>
      <c r="I46" s="6">
        <f>Table1[[#This Row],[Fitimi (€)]]/Table1[[#This Row],[Shitjet (€)]]</f>
        <v>0.15213840691364641</v>
      </c>
    </row>
    <row r="47" spans="1:9" x14ac:dyDescent="0.2">
      <c r="A47" t="s">
        <v>48</v>
      </c>
      <c r="B47" t="s">
        <v>13</v>
      </c>
      <c r="C47" t="s">
        <v>17</v>
      </c>
      <c r="D47" t="s">
        <v>18</v>
      </c>
      <c r="E47" t="s">
        <v>42</v>
      </c>
      <c r="F47">
        <v>10</v>
      </c>
      <c r="G47" s="2">
        <v>6600</v>
      </c>
      <c r="H47" s="2">
        <v>1398.5</v>
      </c>
      <c r="I47" s="6">
        <f>Table1[[#This Row],[Fitimi (€)]]/Table1[[#This Row],[Shitjet (€)]]</f>
        <v>0.21189393939393938</v>
      </c>
    </row>
    <row r="48" spans="1:9" x14ac:dyDescent="0.2">
      <c r="A48" t="s">
        <v>45</v>
      </c>
      <c r="B48" t="s">
        <v>28</v>
      </c>
      <c r="C48" t="s">
        <v>37</v>
      </c>
      <c r="D48" t="s">
        <v>31</v>
      </c>
      <c r="E48" t="s">
        <v>24</v>
      </c>
      <c r="F48">
        <v>19</v>
      </c>
      <c r="G48" s="2">
        <v>7980</v>
      </c>
      <c r="H48" s="2">
        <v>890.63</v>
      </c>
      <c r="I48" s="6">
        <f>Table1[[#This Row],[Fitimi (€)]]/Table1[[#This Row],[Shitjet (€)]]</f>
        <v>0.11160776942355889</v>
      </c>
    </row>
    <row r="49" spans="1:14" x14ac:dyDescent="0.2">
      <c r="A49" t="s">
        <v>48</v>
      </c>
      <c r="B49" t="s">
        <v>34</v>
      </c>
      <c r="C49" t="s">
        <v>37</v>
      </c>
      <c r="D49" t="s">
        <v>18</v>
      </c>
      <c r="E49" t="s">
        <v>49</v>
      </c>
      <c r="F49">
        <v>9</v>
      </c>
      <c r="G49" s="2">
        <v>11556</v>
      </c>
      <c r="H49" s="2">
        <v>1640.31</v>
      </c>
      <c r="I49" s="6">
        <f>Table1[[#This Row],[Fitimi (€)]]/Table1[[#This Row],[Shitjet (€)]]</f>
        <v>0.14194444444444443</v>
      </c>
    </row>
    <row r="50" spans="1:14" x14ac:dyDescent="0.2">
      <c r="A50" t="s">
        <v>46</v>
      </c>
      <c r="B50" t="s">
        <v>40</v>
      </c>
      <c r="C50" t="s">
        <v>30</v>
      </c>
      <c r="D50" t="s">
        <v>10</v>
      </c>
      <c r="E50" t="s">
        <v>24</v>
      </c>
      <c r="F50">
        <v>14</v>
      </c>
      <c r="G50" s="2">
        <v>7056</v>
      </c>
      <c r="H50" s="2">
        <v>930.66</v>
      </c>
      <c r="I50" s="6">
        <f>Table1[[#This Row],[Fitimi (€)]]/Table1[[#This Row],[Shitjet (€)]]</f>
        <v>0.13189625850340136</v>
      </c>
    </row>
    <row r="51" spans="1:14" x14ac:dyDescent="0.2">
      <c r="A51" t="s">
        <v>15</v>
      </c>
      <c r="B51" t="s">
        <v>40</v>
      </c>
      <c r="C51" t="s">
        <v>30</v>
      </c>
      <c r="D51" t="s">
        <v>35</v>
      </c>
      <c r="E51" t="s">
        <v>44</v>
      </c>
      <c r="F51">
        <v>6</v>
      </c>
      <c r="G51" s="2">
        <v>4476</v>
      </c>
      <c r="H51" s="2">
        <v>1044.77</v>
      </c>
      <c r="I51" s="6">
        <f>Table1[[#This Row],[Fitimi (€)]]/Table1[[#This Row],[Shitjet (€)]]</f>
        <v>0.2334159964253798</v>
      </c>
    </row>
    <row r="52" spans="1:14" x14ac:dyDescent="0.2">
      <c r="A52" t="s">
        <v>39</v>
      </c>
      <c r="B52" t="s">
        <v>8</v>
      </c>
      <c r="C52" t="s">
        <v>37</v>
      </c>
      <c r="D52" t="s">
        <v>31</v>
      </c>
      <c r="E52" t="s">
        <v>42</v>
      </c>
      <c r="F52">
        <v>9</v>
      </c>
      <c r="G52" s="2">
        <v>12771</v>
      </c>
      <c r="H52" s="2">
        <v>1732.33</v>
      </c>
      <c r="I52" s="6">
        <f>Table1[[#This Row],[Fitimi (€)]]/Table1[[#This Row],[Shitjet (€)]]</f>
        <v>0.13564560332002193</v>
      </c>
    </row>
    <row r="53" spans="1:14" x14ac:dyDescent="0.2">
      <c r="A53" t="s">
        <v>33</v>
      </c>
      <c r="B53" t="s">
        <v>21</v>
      </c>
      <c r="C53" t="s">
        <v>9</v>
      </c>
      <c r="D53" t="s">
        <v>31</v>
      </c>
      <c r="E53" t="s">
        <v>26</v>
      </c>
      <c r="F53">
        <v>9</v>
      </c>
      <c r="G53" s="2">
        <v>13302</v>
      </c>
      <c r="H53" s="2">
        <v>2547.98</v>
      </c>
      <c r="I53" s="6">
        <f>Table1[[#This Row],[Fitimi (€)]]/Table1[[#This Row],[Shitjet (€)]]</f>
        <v>0.19154863930236055</v>
      </c>
    </row>
    <row r="54" spans="1:14" x14ac:dyDescent="0.2">
      <c r="A54" t="s">
        <v>33</v>
      </c>
      <c r="B54" t="s">
        <v>16</v>
      </c>
      <c r="C54" t="s">
        <v>17</v>
      </c>
      <c r="D54" t="s">
        <v>18</v>
      </c>
      <c r="E54" t="s">
        <v>51</v>
      </c>
      <c r="F54">
        <v>12</v>
      </c>
      <c r="G54" s="2">
        <v>13272</v>
      </c>
      <c r="H54" s="2">
        <v>2529.2199999999998</v>
      </c>
      <c r="I54" s="6">
        <f>Table1[[#This Row],[Fitimi (€)]]/Table1[[#This Row],[Shitjet (€)]]</f>
        <v>0.19056811332127788</v>
      </c>
    </row>
    <row r="55" spans="1:14" x14ac:dyDescent="0.2">
      <c r="A55" t="s">
        <v>39</v>
      </c>
      <c r="B55" t="s">
        <v>28</v>
      </c>
      <c r="C55" t="s">
        <v>37</v>
      </c>
      <c r="D55" t="s">
        <v>43</v>
      </c>
      <c r="E55" t="s">
        <v>14</v>
      </c>
      <c r="F55">
        <v>11</v>
      </c>
      <c r="G55" s="2">
        <v>13508</v>
      </c>
      <c r="H55" s="2">
        <v>3372.54</v>
      </c>
      <c r="I55" s="6">
        <f>Table1[[#This Row],[Fitimi (€)]]/Table1[[#This Row],[Shitjet (€)]]</f>
        <v>0.24966982528871778</v>
      </c>
    </row>
    <row r="56" spans="1:14" x14ac:dyDescent="0.2">
      <c r="A56" t="s">
        <v>33</v>
      </c>
      <c r="B56" t="s">
        <v>13</v>
      </c>
      <c r="C56" t="s">
        <v>17</v>
      </c>
      <c r="D56" t="s">
        <v>29</v>
      </c>
      <c r="E56" t="s">
        <v>11</v>
      </c>
      <c r="F56">
        <v>3</v>
      </c>
      <c r="G56" s="2">
        <v>2130</v>
      </c>
      <c r="H56" s="2">
        <v>476.67</v>
      </c>
      <c r="I56" s="6">
        <f>Table1[[#This Row],[Fitimi (€)]]/Table1[[#This Row],[Shitjet (€)]]</f>
        <v>0.2237887323943662</v>
      </c>
    </row>
    <row r="57" spans="1:14" x14ac:dyDescent="0.2">
      <c r="A57" t="s">
        <v>46</v>
      </c>
      <c r="B57" t="s">
        <v>21</v>
      </c>
      <c r="C57" t="s">
        <v>30</v>
      </c>
      <c r="D57" t="s">
        <v>29</v>
      </c>
      <c r="E57" t="s">
        <v>41</v>
      </c>
      <c r="F57">
        <v>18</v>
      </c>
      <c r="G57" s="2">
        <v>18612</v>
      </c>
      <c r="H57" s="2">
        <v>3243.73</v>
      </c>
      <c r="I57" s="6">
        <f>Table1[[#This Row],[Fitimi (€)]]/Table1[[#This Row],[Shitjet (€)]]</f>
        <v>0.17428164624973136</v>
      </c>
    </row>
    <row r="58" spans="1:14" x14ac:dyDescent="0.2">
      <c r="A58" t="s">
        <v>36</v>
      </c>
      <c r="B58" t="s">
        <v>25</v>
      </c>
      <c r="C58" t="s">
        <v>9</v>
      </c>
      <c r="D58" t="s">
        <v>43</v>
      </c>
      <c r="E58" t="s">
        <v>26</v>
      </c>
      <c r="F58">
        <v>14</v>
      </c>
      <c r="G58" s="2">
        <v>11984</v>
      </c>
      <c r="H58" s="2">
        <v>2465.37</v>
      </c>
      <c r="I58" s="6">
        <f>Table1[[#This Row],[Fitimi (€)]]/Table1[[#This Row],[Shitjet (€)]]</f>
        <v>0.20572179572763685</v>
      </c>
    </row>
    <row r="59" spans="1:14" x14ac:dyDescent="0.2">
      <c r="A59" t="s">
        <v>20</v>
      </c>
      <c r="B59" t="s">
        <v>13</v>
      </c>
      <c r="C59" t="s">
        <v>9</v>
      </c>
      <c r="D59" t="s">
        <v>35</v>
      </c>
      <c r="E59" t="s">
        <v>49</v>
      </c>
      <c r="F59">
        <v>18</v>
      </c>
      <c r="G59" s="2">
        <v>25110</v>
      </c>
      <c r="H59" s="2">
        <v>5668.62</v>
      </c>
      <c r="I59" s="6">
        <f>Table1[[#This Row],[Fitimi (€)]]/Table1[[#This Row],[Shitjet (€)]]</f>
        <v>0.22575149342891279</v>
      </c>
    </row>
    <row r="60" spans="1:14" ht="16" thickBot="1" x14ac:dyDescent="0.25">
      <c r="A60" t="s">
        <v>15</v>
      </c>
      <c r="B60" t="s">
        <v>8</v>
      </c>
      <c r="C60" t="s">
        <v>17</v>
      </c>
      <c r="D60" t="s">
        <v>18</v>
      </c>
      <c r="E60" t="s">
        <v>41</v>
      </c>
      <c r="F60">
        <v>7</v>
      </c>
      <c r="G60" s="2">
        <v>3913</v>
      </c>
      <c r="H60" s="2">
        <v>976.8</v>
      </c>
      <c r="I60" s="6">
        <f>Table1[[#This Row],[Fitimi (€)]]/Table1[[#This Row],[Shitjet (€)]]</f>
        <v>0.24962944032711473</v>
      </c>
    </row>
    <row r="61" spans="1:14" ht="17" thickTop="1" thickBot="1" x14ac:dyDescent="0.25">
      <c r="A61" t="s">
        <v>46</v>
      </c>
      <c r="B61" t="s">
        <v>21</v>
      </c>
      <c r="C61" t="s">
        <v>30</v>
      </c>
      <c r="D61" t="s">
        <v>29</v>
      </c>
      <c r="E61" t="s">
        <v>53</v>
      </c>
      <c r="F61">
        <v>2</v>
      </c>
      <c r="G61" s="2">
        <v>1726</v>
      </c>
      <c r="H61" s="2">
        <v>257.11</v>
      </c>
      <c r="I61" s="6">
        <f>Table1[[#This Row],[Fitimi (€)]]/Table1[[#This Row],[Shitjet (€)]]</f>
        <v>0.14896292004634995</v>
      </c>
      <c r="L61" s="9">
        <f>SUM(Table1[Shitjet (€)])</f>
        <v>561246</v>
      </c>
      <c r="M61" s="11" t="s">
        <v>63</v>
      </c>
      <c r="N61" s="6">
        <v>0.82069999999999999</v>
      </c>
    </row>
    <row r="62" spans="1:14" ht="16" thickTop="1" x14ac:dyDescent="0.2">
      <c r="A62" t="s">
        <v>12</v>
      </c>
      <c r="B62" t="s">
        <v>13</v>
      </c>
      <c r="C62" t="s">
        <v>22</v>
      </c>
      <c r="D62" t="s">
        <v>29</v>
      </c>
      <c r="E62" t="s">
        <v>19</v>
      </c>
      <c r="F62">
        <v>11</v>
      </c>
      <c r="G62" s="2">
        <v>12672</v>
      </c>
      <c r="H62" s="2">
        <v>2546.34</v>
      </c>
      <c r="I62" s="6">
        <f>Table1[[#This Row],[Fitimi (€)]]/Table1[[#This Row],[Shitjet (€)]]</f>
        <v>0.20094223484848486</v>
      </c>
      <c r="L62" s="9">
        <f>SUM(Table1[Fitimi (€)])</f>
        <v>100792.81999999998</v>
      </c>
      <c r="M62" s="11" t="s">
        <v>64</v>
      </c>
      <c r="N62" s="6">
        <v>0.17929999999999999</v>
      </c>
    </row>
    <row r="63" spans="1:14" x14ac:dyDescent="0.2">
      <c r="A63" t="s">
        <v>50</v>
      </c>
      <c r="B63" t="s">
        <v>16</v>
      </c>
      <c r="C63" t="s">
        <v>37</v>
      </c>
      <c r="D63" t="s">
        <v>43</v>
      </c>
      <c r="E63" t="s">
        <v>44</v>
      </c>
      <c r="F63">
        <v>19</v>
      </c>
      <c r="G63" s="2">
        <v>7885</v>
      </c>
      <c r="H63" s="2">
        <v>797.4</v>
      </c>
      <c r="I63" s="6">
        <f>Table1[[#This Row],[Fitimi (€)]]/Table1[[#This Row],[Shitjet (€)]]</f>
        <v>0.10112872542802789</v>
      </c>
    </row>
    <row r="64" spans="1:14" ht="16" x14ac:dyDescent="0.2">
      <c r="G64" s="12">
        <f>SUM(Table1[Shitjet (€)])</f>
        <v>561246</v>
      </c>
      <c r="H64" s="12">
        <f>SUM(Table1[Fitimi (€)])</f>
        <v>100792.81999999998</v>
      </c>
      <c r="I64" s="13">
        <f>AVERAGE(Table1[Margin %])</f>
        <v>0.17928870536666966</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2B612-6A16-6349-A53D-5493C956A240}">
  <sheetPr codeName="Sheet2"/>
  <dimension ref="B2:T74"/>
  <sheetViews>
    <sheetView zoomScale="75" zoomScaleNormal="100" workbookViewId="0">
      <selection activeCell="I54" sqref="I54"/>
    </sheetView>
  </sheetViews>
  <sheetFormatPr baseColWidth="10" defaultRowHeight="15" x14ac:dyDescent="0.2"/>
  <cols>
    <col min="2" max="2" width="12.6640625" bestFit="1" customWidth="1"/>
    <col min="3" max="3" width="14.33203125" bestFit="1" customWidth="1"/>
    <col min="4" max="4" width="13.6640625" bestFit="1" customWidth="1"/>
    <col min="7" max="7" width="12.83203125" bestFit="1" customWidth="1"/>
    <col min="8" max="8" width="14.33203125" bestFit="1" customWidth="1"/>
    <col min="9" max="9" width="13.6640625" bestFit="1" customWidth="1"/>
    <col min="12" max="12" width="12.6640625" bestFit="1" customWidth="1"/>
    <col min="13" max="13" width="14.6640625" bestFit="1" customWidth="1"/>
    <col min="14" max="14" width="14.33203125" bestFit="1" customWidth="1"/>
    <col min="17" max="17" width="12.6640625" bestFit="1" customWidth="1"/>
    <col min="18" max="18" width="10.6640625" bestFit="1" customWidth="1"/>
    <col min="19" max="19" width="14.33203125" bestFit="1" customWidth="1"/>
    <col min="20" max="20" width="13.6640625" bestFit="1" customWidth="1"/>
  </cols>
  <sheetData>
    <row r="2" spans="2:20" x14ac:dyDescent="0.2">
      <c r="B2" s="4" t="s">
        <v>54</v>
      </c>
      <c r="C2" t="s">
        <v>56</v>
      </c>
      <c r="D2" t="s">
        <v>57</v>
      </c>
      <c r="G2" s="4" t="s">
        <v>54</v>
      </c>
      <c r="H2" t="s">
        <v>56</v>
      </c>
      <c r="I2" t="s">
        <v>57</v>
      </c>
      <c r="L2" s="4" t="s">
        <v>54</v>
      </c>
      <c r="M2" t="s">
        <v>59</v>
      </c>
      <c r="N2" t="s">
        <v>56</v>
      </c>
      <c r="Q2" s="4" t="s">
        <v>54</v>
      </c>
      <c r="R2" t="s">
        <v>60</v>
      </c>
      <c r="S2" t="s">
        <v>56</v>
      </c>
      <c r="T2" t="s">
        <v>57</v>
      </c>
    </row>
    <row r="3" spans="2:20" x14ac:dyDescent="0.2">
      <c r="B3" s="5" t="s">
        <v>12</v>
      </c>
      <c r="C3" s="1">
        <v>62217</v>
      </c>
      <c r="D3" s="1">
        <v>10683.75</v>
      </c>
      <c r="G3" s="5" t="s">
        <v>21</v>
      </c>
      <c r="H3" s="1">
        <v>105433</v>
      </c>
      <c r="I3" s="1">
        <v>19591.650000000001</v>
      </c>
      <c r="L3" s="5" t="s">
        <v>9</v>
      </c>
      <c r="M3" s="3">
        <v>13</v>
      </c>
      <c r="N3" s="1">
        <v>123844</v>
      </c>
      <c r="Q3" s="5" t="s">
        <v>14</v>
      </c>
      <c r="R3" s="3">
        <v>72</v>
      </c>
      <c r="S3" s="1">
        <v>70068</v>
      </c>
      <c r="T3" s="1">
        <v>13374.149999999998</v>
      </c>
    </row>
    <row r="4" spans="2:20" x14ac:dyDescent="0.2">
      <c r="B4" s="5" t="s">
        <v>27</v>
      </c>
      <c r="C4" s="1">
        <v>19458</v>
      </c>
      <c r="D4" s="1">
        <v>2935.1000000000004</v>
      </c>
      <c r="G4" s="5" t="s">
        <v>13</v>
      </c>
      <c r="H4" s="1">
        <v>74066</v>
      </c>
      <c r="I4" s="1">
        <v>15993.98</v>
      </c>
      <c r="L4" s="5" t="s">
        <v>17</v>
      </c>
      <c r="M4" s="3">
        <v>14</v>
      </c>
      <c r="N4" s="1">
        <v>115750</v>
      </c>
      <c r="Q4" s="5" t="s">
        <v>24</v>
      </c>
      <c r="R4" s="3">
        <v>100</v>
      </c>
      <c r="S4" s="1">
        <v>72463</v>
      </c>
      <c r="T4" s="1">
        <v>12971.039999999999</v>
      </c>
    </row>
    <row r="5" spans="2:20" x14ac:dyDescent="0.2">
      <c r="B5" s="5" t="s">
        <v>45</v>
      </c>
      <c r="C5" s="1">
        <v>23589</v>
      </c>
      <c r="D5" s="1">
        <v>3281.78</v>
      </c>
      <c r="G5" s="5" t="s">
        <v>8</v>
      </c>
      <c r="H5" s="1">
        <v>99100</v>
      </c>
      <c r="I5" s="1">
        <v>14781.96</v>
      </c>
      <c r="L5" s="5" t="s">
        <v>30</v>
      </c>
      <c r="M5" s="3">
        <v>11</v>
      </c>
      <c r="N5" s="1">
        <v>109800</v>
      </c>
      <c r="Q5" s="5" t="s">
        <v>41</v>
      </c>
      <c r="R5" s="3">
        <v>54</v>
      </c>
      <c r="S5" s="1">
        <v>59069</v>
      </c>
      <c r="T5" s="1">
        <v>10052.039999999999</v>
      </c>
    </row>
    <row r="6" spans="2:20" x14ac:dyDescent="0.2">
      <c r="B6" s="5" t="s">
        <v>39</v>
      </c>
      <c r="C6" s="1">
        <v>52233</v>
      </c>
      <c r="D6" s="1">
        <v>9624.7099999999991</v>
      </c>
      <c r="G6" s="5" t="s">
        <v>40</v>
      </c>
      <c r="H6" s="1">
        <v>76771</v>
      </c>
      <c r="I6" s="1">
        <v>13929.75</v>
      </c>
      <c r="L6" s="5" t="s">
        <v>37</v>
      </c>
      <c r="M6" s="3">
        <v>10</v>
      </c>
      <c r="N6" s="1">
        <v>109048</v>
      </c>
      <c r="Q6" s="5" t="s">
        <v>51</v>
      </c>
      <c r="R6" s="3">
        <v>59</v>
      </c>
      <c r="S6" s="1">
        <v>52932</v>
      </c>
      <c r="T6" s="1">
        <v>9610.69</v>
      </c>
    </row>
    <row r="7" spans="2:20" x14ac:dyDescent="0.2">
      <c r="B7" s="5" t="s">
        <v>36</v>
      </c>
      <c r="C7" s="1">
        <v>54175</v>
      </c>
      <c r="D7" s="1">
        <v>10096.77</v>
      </c>
      <c r="G7" s="5" t="s">
        <v>16</v>
      </c>
      <c r="H7" s="1">
        <v>71460</v>
      </c>
      <c r="I7" s="1">
        <v>12010.16</v>
      </c>
      <c r="L7" s="5" t="s">
        <v>22</v>
      </c>
      <c r="M7" s="3">
        <v>7</v>
      </c>
      <c r="N7" s="1">
        <v>102804</v>
      </c>
      <c r="Q7" s="5" t="s">
        <v>11</v>
      </c>
      <c r="R7" s="3">
        <v>35</v>
      </c>
      <c r="S7" s="1">
        <v>39936</v>
      </c>
      <c r="T7" s="1">
        <v>8420.26</v>
      </c>
    </row>
    <row r="8" spans="2:20" x14ac:dyDescent="0.2">
      <c r="B8" s="5" t="s">
        <v>50</v>
      </c>
      <c r="C8" s="1">
        <v>29545</v>
      </c>
      <c r="D8" s="1">
        <v>5317.09</v>
      </c>
      <c r="G8" s="5" t="s">
        <v>25</v>
      </c>
      <c r="H8" s="1">
        <v>59901</v>
      </c>
      <c r="I8" s="1">
        <v>10834.329999999998</v>
      </c>
      <c r="L8" s="5" t="s">
        <v>55</v>
      </c>
      <c r="M8" s="3">
        <v>55</v>
      </c>
      <c r="N8" s="1">
        <v>561246</v>
      </c>
      <c r="Q8" s="5" t="s">
        <v>38</v>
      </c>
      <c r="R8" s="3">
        <v>44</v>
      </c>
      <c r="S8" s="1">
        <v>40814</v>
      </c>
      <c r="T8" s="1">
        <v>7895.7</v>
      </c>
    </row>
    <row r="9" spans="2:20" x14ac:dyDescent="0.2">
      <c r="B9" s="5" t="s">
        <v>20</v>
      </c>
      <c r="C9" s="1">
        <v>70927</v>
      </c>
      <c r="D9" s="1">
        <v>14488.669999999998</v>
      </c>
      <c r="G9" s="5" t="s">
        <v>28</v>
      </c>
      <c r="H9" s="1">
        <v>42375</v>
      </c>
      <c r="I9" s="1">
        <v>7901.3099999999995</v>
      </c>
      <c r="Q9" s="5" t="s">
        <v>49</v>
      </c>
      <c r="R9" s="3">
        <v>33</v>
      </c>
      <c r="S9" s="1">
        <v>41052</v>
      </c>
      <c r="T9" s="1">
        <v>7766.1</v>
      </c>
    </row>
    <row r="10" spans="2:20" x14ac:dyDescent="0.2">
      <c r="B10" s="5" t="s">
        <v>46</v>
      </c>
      <c r="C10" s="1">
        <v>29788</v>
      </c>
      <c r="D10" s="1">
        <v>4710.62</v>
      </c>
      <c r="G10" s="5" t="s">
        <v>34</v>
      </c>
      <c r="H10" s="1">
        <v>32140</v>
      </c>
      <c r="I10" s="1">
        <v>5749.68</v>
      </c>
      <c r="Q10" s="5" t="s">
        <v>44</v>
      </c>
      <c r="R10" s="3">
        <v>49</v>
      </c>
      <c r="S10" s="1">
        <v>41890</v>
      </c>
      <c r="T10" s="1">
        <v>7334.6099999999988</v>
      </c>
    </row>
    <row r="11" spans="2:20" x14ac:dyDescent="0.2">
      <c r="B11" s="5" t="s">
        <v>15</v>
      </c>
      <c r="C11" s="1">
        <v>28357</v>
      </c>
      <c r="D11" s="1">
        <v>5313.9000000000005</v>
      </c>
      <c r="G11" s="5" t="s">
        <v>55</v>
      </c>
      <c r="H11" s="1">
        <v>561246</v>
      </c>
      <c r="I11" s="1">
        <v>100792.81999999999</v>
      </c>
      <c r="Q11" s="5" t="s">
        <v>26</v>
      </c>
      <c r="R11" s="3">
        <v>35</v>
      </c>
      <c r="S11" s="1">
        <v>34768</v>
      </c>
      <c r="T11" s="1">
        <v>6201.26</v>
      </c>
    </row>
    <row r="12" spans="2:20" x14ac:dyDescent="0.2">
      <c r="B12" s="5" t="s">
        <v>48</v>
      </c>
      <c r="C12" s="1">
        <v>29598</v>
      </c>
      <c r="D12" s="1">
        <v>4914.7999999999993</v>
      </c>
      <c r="Q12" s="5" t="s">
        <v>19</v>
      </c>
      <c r="R12" s="3">
        <v>43</v>
      </c>
      <c r="S12" s="1">
        <v>33020</v>
      </c>
      <c r="T12" s="1">
        <v>5719.01</v>
      </c>
    </row>
    <row r="13" spans="2:20" x14ac:dyDescent="0.2">
      <c r="B13" s="5" t="s">
        <v>58</v>
      </c>
      <c r="C13" s="1">
        <v>64978</v>
      </c>
      <c r="D13" s="1">
        <v>12354.519999999999</v>
      </c>
      <c r="Q13" s="5" t="s">
        <v>42</v>
      </c>
      <c r="R13" s="3">
        <v>33</v>
      </c>
      <c r="S13" s="1">
        <v>34673</v>
      </c>
      <c r="T13" s="1">
        <v>5442.66</v>
      </c>
    </row>
    <row r="14" spans="2:20" x14ac:dyDescent="0.2">
      <c r="B14" s="5" t="s">
        <v>33</v>
      </c>
      <c r="C14" s="1">
        <v>96381</v>
      </c>
      <c r="D14" s="1">
        <v>17071.11</v>
      </c>
      <c r="Q14" s="5" t="s">
        <v>32</v>
      </c>
      <c r="R14" s="3">
        <v>39</v>
      </c>
      <c r="S14" s="1">
        <v>35571</v>
      </c>
      <c r="T14" s="1">
        <v>5106.79</v>
      </c>
    </row>
    <row r="15" spans="2:20" x14ac:dyDescent="0.2">
      <c r="B15" s="5" t="s">
        <v>55</v>
      </c>
      <c r="C15" s="1">
        <v>561246</v>
      </c>
      <c r="D15" s="1">
        <v>100792.82</v>
      </c>
      <c r="Q15" s="5" t="s">
        <v>52</v>
      </c>
      <c r="R15" s="3">
        <v>4</v>
      </c>
      <c r="S15" s="1">
        <v>3264</v>
      </c>
      <c r="T15" s="1">
        <v>641.4</v>
      </c>
    </row>
    <row r="16" spans="2:20" x14ac:dyDescent="0.2">
      <c r="Q16" s="5" t="s">
        <v>53</v>
      </c>
      <c r="R16" s="3">
        <v>2</v>
      </c>
      <c r="S16" s="1">
        <v>1726</v>
      </c>
      <c r="T16" s="1">
        <v>257.11</v>
      </c>
    </row>
    <row r="17" spans="2:20" x14ac:dyDescent="0.2">
      <c r="Q17" s="5" t="s">
        <v>55</v>
      </c>
      <c r="R17" s="3">
        <v>602</v>
      </c>
      <c r="S17" s="1">
        <v>561246</v>
      </c>
      <c r="T17" s="1">
        <v>100792.81999999999</v>
      </c>
    </row>
    <row r="19" spans="2:20" x14ac:dyDescent="0.2">
      <c r="D19" s="7"/>
    </row>
    <row r="20" spans="2:20" x14ac:dyDescent="0.2">
      <c r="D20" s="6"/>
    </row>
    <row r="21" spans="2:20" x14ac:dyDescent="0.2">
      <c r="B21" s="5" t="s">
        <v>33</v>
      </c>
      <c r="C21" s="1">
        <v>96381</v>
      </c>
      <c r="D21" s="1">
        <v>17071.11</v>
      </c>
    </row>
    <row r="22" spans="2:20" x14ac:dyDescent="0.2">
      <c r="D22" s="6"/>
    </row>
    <row r="23" spans="2:20" x14ac:dyDescent="0.2">
      <c r="D23" s="6"/>
    </row>
    <row r="24" spans="2:20" x14ac:dyDescent="0.2">
      <c r="D24" s="6"/>
    </row>
    <row r="25" spans="2:20" x14ac:dyDescent="0.2">
      <c r="D25" s="6"/>
    </row>
    <row r="26" spans="2:20" x14ac:dyDescent="0.2">
      <c r="D26" s="6"/>
    </row>
    <row r="27" spans="2:20" x14ac:dyDescent="0.2">
      <c r="D27" s="6"/>
    </row>
    <row r="28" spans="2:20" x14ac:dyDescent="0.2">
      <c r="D28" s="6"/>
    </row>
    <row r="29" spans="2:20" x14ac:dyDescent="0.2">
      <c r="D29" s="6"/>
    </row>
    <row r="30" spans="2:20" x14ac:dyDescent="0.2">
      <c r="D30" s="6"/>
    </row>
    <row r="31" spans="2:20" x14ac:dyDescent="0.2">
      <c r="D31" s="6"/>
    </row>
    <row r="32" spans="2:20" x14ac:dyDescent="0.2">
      <c r="D32" s="6"/>
    </row>
    <row r="33" spans="4:4" x14ac:dyDescent="0.2">
      <c r="D33" s="6"/>
    </row>
    <row r="34" spans="4:4" x14ac:dyDescent="0.2">
      <c r="D34" s="6"/>
    </row>
    <row r="35" spans="4:4" x14ac:dyDescent="0.2">
      <c r="D35" s="6"/>
    </row>
    <row r="36" spans="4:4" x14ac:dyDescent="0.2">
      <c r="D36" s="6"/>
    </row>
    <row r="37" spans="4:4" x14ac:dyDescent="0.2">
      <c r="D37" s="6"/>
    </row>
    <row r="38" spans="4:4" x14ac:dyDescent="0.2">
      <c r="D38" s="6"/>
    </row>
    <row r="39" spans="4:4" x14ac:dyDescent="0.2">
      <c r="D39" s="6"/>
    </row>
    <row r="40" spans="4:4" x14ac:dyDescent="0.2">
      <c r="D40" s="6"/>
    </row>
    <row r="41" spans="4:4" x14ac:dyDescent="0.2">
      <c r="D41" s="6"/>
    </row>
    <row r="42" spans="4:4" x14ac:dyDescent="0.2">
      <c r="D42" s="6"/>
    </row>
    <row r="43" spans="4:4" x14ac:dyDescent="0.2">
      <c r="D43" s="6"/>
    </row>
    <row r="44" spans="4:4" x14ac:dyDescent="0.2">
      <c r="D44" s="6"/>
    </row>
    <row r="45" spans="4:4" x14ac:dyDescent="0.2">
      <c r="D45" s="6"/>
    </row>
    <row r="46" spans="4:4" x14ac:dyDescent="0.2">
      <c r="D46" s="6"/>
    </row>
    <row r="47" spans="4:4" x14ac:dyDescent="0.2">
      <c r="D47" s="6"/>
    </row>
    <row r="48" spans="4:4" x14ac:dyDescent="0.2">
      <c r="D48" s="6"/>
    </row>
    <row r="49" spans="4:4" x14ac:dyDescent="0.2">
      <c r="D49" s="6"/>
    </row>
    <row r="50" spans="4:4" x14ac:dyDescent="0.2">
      <c r="D50" s="6"/>
    </row>
    <row r="51" spans="4:4" x14ac:dyDescent="0.2">
      <c r="D51" s="6"/>
    </row>
    <row r="52" spans="4:4" x14ac:dyDescent="0.2">
      <c r="D52" s="6"/>
    </row>
    <row r="53" spans="4:4" x14ac:dyDescent="0.2">
      <c r="D53" s="6"/>
    </row>
    <row r="54" spans="4:4" x14ac:dyDescent="0.2">
      <c r="D54" s="6"/>
    </row>
    <row r="55" spans="4:4" x14ac:dyDescent="0.2">
      <c r="D55" s="6"/>
    </row>
    <row r="56" spans="4:4" x14ac:dyDescent="0.2">
      <c r="D56" s="6"/>
    </row>
    <row r="57" spans="4:4" x14ac:dyDescent="0.2">
      <c r="D57" s="6"/>
    </row>
    <row r="58" spans="4:4" x14ac:dyDescent="0.2">
      <c r="D58" s="6"/>
    </row>
    <row r="59" spans="4:4" x14ac:dyDescent="0.2">
      <c r="D59" s="6"/>
    </row>
    <row r="60" spans="4:4" x14ac:dyDescent="0.2">
      <c r="D60" s="6"/>
    </row>
    <row r="61" spans="4:4" x14ac:dyDescent="0.2">
      <c r="D61" s="6"/>
    </row>
    <row r="62" spans="4:4" x14ac:dyDescent="0.2">
      <c r="D62" s="6"/>
    </row>
    <row r="63" spans="4:4" x14ac:dyDescent="0.2">
      <c r="D63" s="6"/>
    </row>
    <row r="64" spans="4:4" x14ac:dyDescent="0.2">
      <c r="D64" s="6"/>
    </row>
    <row r="65" spans="4:4" x14ac:dyDescent="0.2">
      <c r="D65" s="6"/>
    </row>
    <row r="66" spans="4:4" x14ac:dyDescent="0.2">
      <c r="D66" s="6"/>
    </row>
    <row r="67" spans="4:4" x14ac:dyDescent="0.2">
      <c r="D67" s="6"/>
    </row>
    <row r="68" spans="4:4" x14ac:dyDescent="0.2">
      <c r="D68" s="6"/>
    </row>
    <row r="69" spans="4:4" x14ac:dyDescent="0.2">
      <c r="D69" s="6"/>
    </row>
    <row r="70" spans="4:4" x14ac:dyDescent="0.2">
      <c r="D70" s="6"/>
    </row>
    <row r="71" spans="4:4" x14ac:dyDescent="0.2">
      <c r="D71" s="6"/>
    </row>
    <row r="72" spans="4:4" x14ac:dyDescent="0.2">
      <c r="D72" s="6"/>
    </row>
    <row r="73" spans="4:4" ht="16" x14ac:dyDescent="0.2">
      <c r="D73" s="8"/>
    </row>
    <row r="74" spans="4:4" x14ac:dyDescent="0.2">
      <c r="D74" s="6"/>
    </row>
  </sheetData>
  <sortState xmlns:xlrd2="http://schemas.microsoft.com/office/spreadsheetml/2017/richdata2" ref="Q2:T17">
    <sortCondition ref="Q3" customList="Janar,Shkurt,Mars,Prill,Maj,Qershor,Korrik,Gusht,Shtator,Tetor,Nentor,Dhjetor"/>
  </sortState>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D7718-64D5-7647-B260-4D247A6A530B}">
  <sheetPr codeName="Sheet3"/>
  <dimension ref="A1:X54"/>
  <sheetViews>
    <sheetView tabSelected="1" zoomScale="92" zoomScaleNormal="82" workbookViewId="0">
      <selection activeCell="X64" sqref="X64"/>
    </sheetView>
  </sheetViews>
  <sheetFormatPr baseColWidth="10" defaultRowHeight="15" x14ac:dyDescent="0.2"/>
  <sheetData>
    <row r="1" spans="1:24" x14ac:dyDescent="0.2">
      <c r="A1" s="10"/>
      <c r="B1" s="10"/>
      <c r="C1" s="10"/>
      <c r="D1" s="10"/>
      <c r="E1" s="10"/>
      <c r="F1" s="10"/>
      <c r="G1" s="10"/>
      <c r="H1" s="10"/>
      <c r="I1" s="10"/>
      <c r="J1" s="10"/>
      <c r="K1" s="10"/>
      <c r="L1" s="10"/>
      <c r="M1" s="10"/>
      <c r="N1" s="10"/>
      <c r="O1" s="10"/>
      <c r="P1" s="10"/>
      <c r="Q1" s="10"/>
      <c r="R1" s="10"/>
      <c r="S1" s="10"/>
      <c r="T1" s="10"/>
      <c r="U1" s="10"/>
      <c r="V1" s="10"/>
      <c r="W1" s="10"/>
      <c r="X1" s="10"/>
    </row>
    <row r="2" spans="1:24" x14ac:dyDescent="0.2">
      <c r="A2" s="10"/>
      <c r="B2" s="10"/>
      <c r="C2" s="10"/>
      <c r="D2" s="10"/>
      <c r="E2" s="10"/>
      <c r="F2" s="10"/>
      <c r="G2" s="10"/>
      <c r="H2" s="10"/>
      <c r="I2" s="10"/>
      <c r="J2" s="10"/>
      <c r="K2" s="10"/>
      <c r="L2" s="10"/>
      <c r="M2" s="10"/>
      <c r="N2" s="10"/>
      <c r="O2" s="10"/>
      <c r="P2" s="10"/>
      <c r="Q2" s="10"/>
      <c r="R2" s="10"/>
      <c r="S2" s="10"/>
      <c r="T2" s="10"/>
      <c r="U2" s="10"/>
      <c r="V2" s="10"/>
      <c r="W2" s="10"/>
      <c r="X2" s="10"/>
    </row>
    <row r="3" spans="1:24" x14ac:dyDescent="0.2">
      <c r="A3" s="10"/>
      <c r="B3" s="10"/>
      <c r="C3" s="10"/>
      <c r="D3" s="10"/>
      <c r="E3" s="10"/>
      <c r="F3" s="10"/>
      <c r="G3" s="10"/>
      <c r="H3" s="10"/>
      <c r="I3" s="10"/>
      <c r="J3" s="10"/>
      <c r="K3" s="10"/>
      <c r="L3" s="10"/>
      <c r="M3" s="10"/>
      <c r="N3" s="10"/>
      <c r="O3" s="10"/>
      <c r="P3" s="10"/>
      <c r="Q3" s="10"/>
      <c r="R3" s="10"/>
      <c r="S3" s="10"/>
      <c r="T3" s="10"/>
      <c r="U3" s="10"/>
      <c r="V3" s="10"/>
      <c r="W3" s="10"/>
      <c r="X3" s="10"/>
    </row>
    <row r="4" spans="1:24" x14ac:dyDescent="0.2">
      <c r="A4" s="10"/>
      <c r="B4" s="10"/>
      <c r="C4" s="10"/>
      <c r="D4" s="10"/>
      <c r="E4" s="10"/>
      <c r="F4" s="10"/>
      <c r="G4" s="10"/>
      <c r="H4" s="10"/>
      <c r="I4" s="10"/>
      <c r="J4" s="10"/>
      <c r="K4" s="10"/>
      <c r="L4" s="10"/>
      <c r="M4" s="10"/>
      <c r="N4" s="10"/>
      <c r="O4" s="10"/>
      <c r="P4" s="10"/>
      <c r="Q4" s="10"/>
      <c r="R4" s="10"/>
      <c r="S4" s="10"/>
      <c r="T4" s="10"/>
      <c r="U4" s="10"/>
      <c r="V4" s="10"/>
      <c r="W4" s="10"/>
      <c r="X4" s="10"/>
    </row>
    <row r="5" spans="1:24" x14ac:dyDescent="0.2">
      <c r="A5" s="10"/>
      <c r="B5" s="10"/>
      <c r="C5" s="10"/>
      <c r="D5" s="10"/>
      <c r="E5" s="10"/>
      <c r="F5" s="10"/>
      <c r="G5" s="10"/>
      <c r="H5" s="10"/>
      <c r="I5" s="10"/>
      <c r="J5" s="10"/>
      <c r="K5" s="10"/>
      <c r="L5" s="10"/>
      <c r="M5" s="10"/>
      <c r="N5" s="10"/>
      <c r="O5" s="10"/>
      <c r="P5" s="10"/>
      <c r="Q5" s="10"/>
      <c r="R5" s="10"/>
      <c r="S5" s="10"/>
      <c r="T5" s="10"/>
      <c r="U5" s="10"/>
      <c r="V5" s="10"/>
      <c r="W5" s="10"/>
      <c r="X5" s="10"/>
    </row>
    <row r="6" spans="1:24" x14ac:dyDescent="0.2">
      <c r="A6" s="10"/>
      <c r="B6" s="10"/>
      <c r="C6" s="10"/>
      <c r="D6" s="10"/>
      <c r="E6" s="10"/>
      <c r="F6" s="10"/>
      <c r="G6" s="10"/>
      <c r="H6" s="10"/>
      <c r="I6" s="10"/>
      <c r="J6" s="10"/>
      <c r="K6" s="10"/>
      <c r="L6" s="10"/>
      <c r="M6" s="10"/>
      <c r="N6" s="10"/>
      <c r="O6" s="10"/>
      <c r="P6" s="10"/>
      <c r="Q6" s="10"/>
      <c r="R6" s="10"/>
      <c r="S6" s="10"/>
      <c r="T6" s="10"/>
      <c r="U6" s="10"/>
      <c r="V6" s="10"/>
      <c r="W6" s="10"/>
      <c r="X6" s="10"/>
    </row>
    <row r="7" spans="1:24" x14ac:dyDescent="0.2">
      <c r="A7" s="10"/>
      <c r="B7" s="10"/>
      <c r="C7" s="10"/>
      <c r="D7" s="10"/>
      <c r="E7" s="10"/>
      <c r="F7" s="10"/>
      <c r="G7" s="10"/>
      <c r="H7" s="10"/>
      <c r="I7" s="10"/>
      <c r="J7" s="10"/>
      <c r="K7" s="10"/>
      <c r="L7" s="10"/>
      <c r="M7" s="10"/>
      <c r="N7" s="10"/>
      <c r="O7" s="10"/>
      <c r="P7" s="10"/>
      <c r="Q7" s="10"/>
      <c r="R7" s="10"/>
      <c r="S7" s="10"/>
      <c r="T7" s="10"/>
      <c r="U7" s="10"/>
      <c r="V7" s="10"/>
      <c r="W7" s="10"/>
      <c r="X7" s="10"/>
    </row>
    <row r="8" spans="1:24" x14ac:dyDescent="0.2">
      <c r="A8" s="10"/>
      <c r="B8" s="10"/>
      <c r="C8" s="10"/>
      <c r="D8" s="10"/>
      <c r="E8" s="10"/>
      <c r="F8" s="10"/>
      <c r="G8" s="10"/>
      <c r="H8" s="10"/>
      <c r="I8" s="10"/>
      <c r="J8" s="10"/>
      <c r="K8" s="10"/>
      <c r="L8" s="10"/>
      <c r="M8" s="10"/>
      <c r="N8" s="10"/>
      <c r="O8" s="10"/>
      <c r="P8" s="10"/>
      <c r="Q8" s="10"/>
      <c r="R8" s="10"/>
      <c r="S8" s="10"/>
      <c r="T8" s="10"/>
      <c r="U8" s="10"/>
      <c r="V8" s="10"/>
      <c r="W8" s="10"/>
      <c r="X8" s="10"/>
    </row>
    <row r="9" spans="1:24" x14ac:dyDescent="0.2">
      <c r="A9" s="10"/>
      <c r="B9" s="10"/>
      <c r="C9" s="10"/>
      <c r="D9" s="10"/>
      <c r="E9" s="10"/>
      <c r="F9" s="10"/>
      <c r="G9" s="10"/>
      <c r="H9" s="10"/>
      <c r="I9" s="10"/>
      <c r="J9" s="10"/>
      <c r="K9" s="10"/>
      <c r="L9" s="10"/>
      <c r="M9" s="10"/>
      <c r="N9" s="10"/>
      <c r="O9" s="10"/>
      <c r="P9" s="10"/>
      <c r="Q9" s="10"/>
      <c r="R9" s="10"/>
      <c r="S9" s="10"/>
      <c r="T9" s="10"/>
      <c r="U9" s="10"/>
      <c r="V9" s="10"/>
      <c r="W9" s="10"/>
      <c r="X9" s="10"/>
    </row>
    <row r="10" spans="1:24" x14ac:dyDescent="0.2">
      <c r="A10" s="10"/>
      <c r="B10" s="10"/>
      <c r="C10" s="10"/>
      <c r="D10" s="10"/>
      <c r="E10" s="10"/>
      <c r="F10" s="10"/>
      <c r="G10" s="10"/>
      <c r="H10" s="10"/>
      <c r="I10" s="10"/>
      <c r="J10" s="10"/>
      <c r="K10" s="10"/>
      <c r="L10" s="10"/>
      <c r="M10" s="10"/>
      <c r="N10" s="10"/>
      <c r="O10" s="10"/>
      <c r="P10" s="10"/>
      <c r="Q10" s="10"/>
      <c r="R10" s="10"/>
      <c r="S10" s="10"/>
      <c r="T10" s="10"/>
      <c r="U10" s="10"/>
      <c r="V10" s="10"/>
      <c r="W10" s="10"/>
      <c r="X10" s="10"/>
    </row>
    <row r="11" spans="1:24" x14ac:dyDescent="0.2">
      <c r="A11" s="10"/>
      <c r="B11" s="10"/>
      <c r="C11" s="10"/>
      <c r="D11" s="10"/>
      <c r="E11" s="10"/>
      <c r="F11" s="10"/>
      <c r="G11" s="10"/>
      <c r="H11" s="10"/>
      <c r="I11" s="10"/>
      <c r="J11" s="10"/>
      <c r="K11" s="10"/>
      <c r="L11" s="10"/>
      <c r="M11" s="10"/>
      <c r="N11" s="10"/>
      <c r="O11" s="10"/>
      <c r="P11" s="10"/>
      <c r="Q11" s="10"/>
      <c r="R11" s="10"/>
      <c r="S11" s="10"/>
      <c r="T11" s="10"/>
      <c r="U11" s="10"/>
      <c r="V11" s="10"/>
      <c r="W11" s="10"/>
      <c r="X11" s="10"/>
    </row>
    <row r="12" spans="1:24" x14ac:dyDescent="0.2">
      <c r="A12" s="10"/>
      <c r="B12" s="10"/>
      <c r="C12" s="10"/>
      <c r="D12" s="10"/>
      <c r="E12" s="10"/>
      <c r="F12" s="10"/>
      <c r="G12" s="10"/>
      <c r="H12" s="10"/>
      <c r="I12" s="10"/>
      <c r="J12" s="10"/>
      <c r="K12" s="10"/>
      <c r="L12" s="10"/>
      <c r="M12" s="10"/>
      <c r="N12" s="10"/>
      <c r="O12" s="10"/>
      <c r="P12" s="10"/>
      <c r="Q12" s="10"/>
      <c r="R12" s="10"/>
      <c r="S12" s="10"/>
      <c r="T12" s="10"/>
      <c r="U12" s="10"/>
      <c r="V12" s="10"/>
      <c r="W12" s="10"/>
      <c r="X12" s="10"/>
    </row>
    <row r="13" spans="1:24" x14ac:dyDescent="0.2">
      <c r="A13" s="10"/>
      <c r="B13" s="10"/>
      <c r="C13" s="10"/>
      <c r="D13" s="10"/>
      <c r="E13" s="10"/>
      <c r="F13" s="10"/>
      <c r="G13" s="10"/>
      <c r="H13" s="10"/>
      <c r="I13" s="10"/>
      <c r="J13" s="10"/>
      <c r="K13" s="10"/>
      <c r="L13" s="10"/>
      <c r="M13" s="10"/>
      <c r="N13" s="10"/>
      <c r="O13" s="10"/>
      <c r="P13" s="10"/>
      <c r="Q13" s="10"/>
      <c r="R13" s="10"/>
      <c r="S13" s="10"/>
      <c r="T13" s="10"/>
      <c r="U13" s="10"/>
      <c r="V13" s="10"/>
      <c r="W13" s="10"/>
      <c r="X13" s="10"/>
    </row>
    <row r="14" spans="1:24" x14ac:dyDescent="0.2">
      <c r="A14" s="10"/>
      <c r="B14" s="10"/>
      <c r="C14" s="10"/>
      <c r="D14" s="10"/>
      <c r="E14" s="10"/>
      <c r="F14" s="10"/>
      <c r="G14" s="10"/>
      <c r="H14" s="10"/>
      <c r="I14" s="10"/>
      <c r="J14" s="10"/>
      <c r="K14" s="10"/>
      <c r="L14" s="10"/>
      <c r="M14" s="10"/>
      <c r="N14" s="10"/>
      <c r="O14" s="10"/>
      <c r="P14" s="10"/>
      <c r="Q14" s="10"/>
      <c r="R14" s="10"/>
      <c r="S14" s="10"/>
      <c r="T14" s="10"/>
      <c r="U14" s="10"/>
      <c r="V14" s="10"/>
      <c r="W14" s="10"/>
      <c r="X14" s="10"/>
    </row>
    <row r="15" spans="1:24" x14ac:dyDescent="0.2">
      <c r="A15" s="10"/>
      <c r="B15" s="10"/>
      <c r="C15" s="10"/>
      <c r="D15" s="10"/>
      <c r="E15" s="10"/>
      <c r="F15" s="10"/>
      <c r="G15" s="10"/>
      <c r="H15" s="10"/>
      <c r="I15" s="10"/>
      <c r="J15" s="10"/>
      <c r="K15" s="10"/>
      <c r="L15" s="10"/>
      <c r="M15" s="10"/>
      <c r="N15" s="10"/>
      <c r="O15" s="10"/>
      <c r="P15" s="10"/>
      <c r="Q15" s="10"/>
      <c r="R15" s="10"/>
      <c r="S15" s="10"/>
      <c r="T15" s="10"/>
      <c r="U15" s="10"/>
      <c r="V15" s="10"/>
      <c r="W15" s="10"/>
      <c r="X15" s="10"/>
    </row>
    <row r="16" spans="1:24" x14ac:dyDescent="0.2">
      <c r="A16" s="10"/>
      <c r="B16" s="10"/>
      <c r="C16" s="10"/>
      <c r="D16" s="10"/>
      <c r="E16" s="10"/>
      <c r="F16" s="10"/>
      <c r="G16" s="10"/>
      <c r="H16" s="10"/>
      <c r="I16" s="10"/>
      <c r="J16" s="10"/>
      <c r="K16" s="10"/>
      <c r="L16" s="10"/>
      <c r="M16" s="10"/>
      <c r="N16" s="10"/>
      <c r="O16" s="10"/>
      <c r="P16" s="10"/>
      <c r="Q16" s="10"/>
      <c r="R16" s="10"/>
      <c r="S16" s="10"/>
      <c r="T16" s="10"/>
      <c r="U16" s="10"/>
      <c r="V16" s="10"/>
      <c r="W16" s="10"/>
      <c r="X16" s="10"/>
    </row>
    <row r="17" spans="1:24" x14ac:dyDescent="0.2">
      <c r="A17" s="10"/>
      <c r="B17" s="10"/>
      <c r="C17" s="10"/>
      <c r="D17" s="10"/>
      <c r="E17" s="10"/>
      <c r="F17" s="10"/>
      <c r="G17" s="10"/>
      <c r="H17" s="10"/>
      <c r="I17" s="10"/>
      <c r="J17" s="10"/>
      <c r="K17" s="10"/>
      <c r="L17" s="10"/>
      <c r="M17" s="10"/>
      <c r="N17" s="10"/>
      <c r="O17" s="10"/>
      <c r="P17" s="10"/>
      <c r="Q17" s="10"/>
      <c r="R17" s="10"/>
      <c r="S17" s="10"/>
      <c r="T17" s="10"/>
      <c r="U17" s="10"/>
      <c r="V17" s="10"/>
      <c r="W17" s="10"/>
      <c r="X17" s="10"/>
    </row>
    <row r="18" spans="1:24" x14ac:dyDescent="0.2">
      <c r="A18" s="10"/>
      <c r="B18" s="10"/>
      <c r="C18" s="10"/>
      <c r="D18" s="10"/>
      <c r="E18" s="10"/>
      <c r="F18" s="10"/>
      <c r="G18" s="10"/>
      <c r="H18" s="10"/>
      <c r="I18" s="10"/>
      <c r="J18" s="10"/>
      <c r="K18" s="10"/>
      <c r="L18" s="10"/>
      <c r="M18" s="10"/>
      <c r="N18" s="10"/>
      <c r="O18" s="10"/>
      <c r="P18" s="10"/>
      <c r="Q18" s="10"/>
      <c r="R18" s="10"/>
      <c r="S18" s="10"/>
      <c r="T18" s="10"/>
      <c r="U18" s="10"/>
      <c r="V18" s="10"/>
      <c r="W18" s="10"/>
      <c r="X18" s="10"/>
    </row>
    <row r="19" spans="1:24" x14ac:dyDescent="0.2">
      <c r="A19" s="10"/>
      <c r="B19" s="10"/>
      <c r="C19" s="10"/>
      <c r="D19" s="10"/>
      <c r="E19" s="10"/>
      <c r="F19" s="10"/>
      <c r="G19" s="10"/>
      <c r="H19" s="10"/>
      <c r="I19" s="10"/>
      <c r="J19" s="10"/>
      <c r="K19" s="10"/>
      <c r="L19" s="10"/>
      <c r="M19" s="10"/>
      <c r="N19" s="10"/>
      <c r="O19" s="10"/>
      <c r="P19" s="10"/>
      <c r="Q19" s="10"/>
      <c r="R19" s="10"/>
      <c r="S19" s="10"/>
      <c r="T19" s="10"/>
      <c r="U19" s="10"/>
      <c r="V19" s="10"/>
      <c r="W19" s="10"/>
      <c r="X19" s="10"/>
    </row>
    <row r="20" spans="1:24" x14ac:dyDescent="0.2">
      <c r="A20" s="10"/>
      <c r="B20" s="10"/>
      <c r="C20" s="10"/>
      <c r="D20" s="10"/>
      <c r="E20" s="10"/>
      <c r="F20" s="10"/>
      <c r="G20" s="10"/>
      <c r="H20" s="10"/>
      <c r="I20" s="10"/>
      <c r="J20" s="10"/>
      <c r="K20" s="10"/>
      <c r="L20" s="10"/>
      <c r="M20" s="10"/>
      <c r="N20" s="10"/>
      <c r="O20" s="10"/>
      <c r="P20" s="10"/>
      <c r="Q20" s="10"/>
      <c r="R20" s="10"/>
      <c r="S20" s="10"/>
      <c r="T20" s="10"/>
      <c r="U20" s="10"/>
      <c r="V20" s="10"/>
      <c r="W20" s="10"/>
      <c r="X20" s="10"/>
    </row>
    <row r="21" spans="1:24" x14ac:dyDescent="0.2">
      <c r="A21" s="10"/>
      <c r="B21" s="10"/>
      <c r="C21" s="10"/>
      <c r="D21" s="10"/>
      <c r="E21" s="10"/>
      <c r="F21" s="10"/>
      <c r="G21" s="10"/>
      <c r="H21" s="10"/>
      <c r="I21" s="10"/>
      <c r="J21" s="10"/>
      <c r="K21" s="10"/>
      <c r="L21" s="10"/>
      <c r="M21" s="10"/>
      <c r="N21" s="10"/>
      <c r="O21" s="10"/>
      <c r="P21" s="10"/>
      <c r="Q21" s="10"/>
      <c r="R21" s="10"/>
      <c r="S21" s="10"/>
      <c r="T21" s="10"/>
      <c r="U21" s="10"/>
      <c r="V21" s="10"/>
      <c r="W21" s="10"/>
      <c r="X21" s="10"/>
    </row>
    <row r="22" spans="1:24" x14ac:dyDescent="0.2">
      <c r="A22" s="10"/>
      <c r="B22" s="10"/>
      <c r="C22" s="10"/>
      <c r="D22" s="10"/>
      <c r="E22" s="10"/>
      <c r="F22" s="10"/>
      <c r="G22" s="10"/>
      <c r="H22" s="10"/>
      <c r="I22" s="10"/>
      <c r="J22" s="10"/>
      <c r="K22" s="10"/>
      <c r="L22" s="10"/>
      <c r="M22" s="10"/>
      <c r="N22" s="10"/>
      <c r="O22" s="10"/>
      <c r="P22" s="10"/>
      <c r="Q22" s="10"/>
      <c r="R22" s="10"/>
      <c r="S22" s="10"/>
      <c r="T22" s="10"/>
      <c r="U22" s="10"/>
      <c r="V22" s="10"/>
      <c r="W22" s="10"/>
      <c r="X22" s="10"/>
    </row>
    <row r="23" spans="1:24" x14ac:dyDescent="0.2">
      <c r="A23" s="10"/>
      <c r="B23" s="10"/>
      <c r="C23" s="10"/>
      <c r="D23" s="10"/>
      <c r="E23" s="10"/>
      <c r="F23" s="10"/>
      <c r="G23" s="10"/>
      <c r="H23" s="10"/>
      <c r="I23" s="10"/>
      <c r="J23" s="10"/>
      <c r="K23" s="10"/>
      <c r="L23" s="10"/>
      <c r="M23" s="10"/>
      <c r="N23" s="10"/>
      <c r="O23" s="10"/>
      <c r="P23" s="10"/>
      <c r="Q23" s="10"/>
      <c r="R23" s="10"/>
      <c r="S23" s="10"/>
      <c r="T23" s="10"/>
      <c r="U23" s="10"/>
      <c r="V23" s="10"/>
      <c r="W23" s="10"/>
      <c r="X23" s="10"/>
    </row>
    <row r="24" spans="1:24" x14ac:dyDescent="0.2">
      <c r="A24" s="10"/>
      <c r="B24" s="10"/>
      <c r="C24" s="10"/>
      <c r="D24" s="10"/>
      <c r="E24" s="10"/>
      <c r="F24" s="10"/>
      <c r="G24" s="10"/>
      <c r="H24" s="10"/>
      <c r="I24" s="10"/>
      <c r="J24" s="10"/>
      <c r="K24" s="10"/>
      <c r="L24" s="10"/>
      <c r="M24" s="10"/>
      <c r="N24" s="10"/>
      <c r="O24" s="10"/>
      <c r="P24" s="10"/>
      <c r="Q24" s="10"/>
      <c r="R24" s="10"/>
      <c r="S24" s="10"/>
      <c r="T24" s="10"/>
      <c r="U24" s="10"/>
      <c r="V24" s="10"/>
      <c r="W24" s="10"/>
      <c r="X24" s="10"/>
    </row>
    <row r="25" spans="1:24" x14ac:dyDescent="0.2">
      <c r="A25" s="10"/>
      <c r="B25" s="10"/>
      <c r="C25" s="10"/>
      <c r="D25" s="10"/>
      <c r="E25" s="10"/>
      <c r="F25" s="10"/>
      <c r="G25" s="10"/>
      <c r="H25" s="10"/>
      <c r="I25" s="10"/>
      <c r="J25" s="10"/>
      <c r="K25" s="10"/>
      <c r="L25" s="10"/>
      <c r="M25" s="10"/>
      <c r="N25" s="10"/>
      <c r="O25" s="10"/>
      <c r="P25" s="10"/>
      <c r="Q25" s="10"/>
      <c r="R25" s="10"/>
      <c r="S25" s="10"/>
      <c r="T25" s="10"/>
      <c r="U25" s="10"/>
      <c r="V25" s="10"/>
      <c r="W25" s="10"/>
      <c r="X25" s="10"/>
    </row>
    <row r="26" spans="1:24" x14ac:dyDescent="0.2">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x14ac:dyDescent="0.2">
      <c r="A27" s="10"/>
      <c r="B27" s="10"/>
      <c r="C27" s="10"/>
      <c r="D27" s="10"/>
      <c r="E27" s="10"/>
      <c r="F27" s="10"/>
      <c r="G27" s="10"/>
      <c r="H27" s="10"/>
      <c r="I27" s="10"/>
      <c r="J27" s="10"/>
      <c r="K27" s="10"/>
      <c r="L27" s="10"/>
      <c r="M27" s="10"/>
      <c r="N27" s="10"/>
      <c r="O27" s="10"/>
      <c r="P27" s="10"/>
      <c r="Q27" s="10"/>
      <c r="R27" s="10"/>
      <c r="S27" s="10"/>
      <c r="T27" s="10"/>
      <c r="U27" s="10"/>
      <c r="V27" s="10"/>
      <c r="W27" s="10"/>
      <c r="X27" s="10"/>
    </row>
    <row r="28" spans="1:24" x14ac:dyDescent="0.2">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x14ac:dyDescent="0.2">
      <c r="A29" s="10"/>
      <c r="B29" s="10"/>
      <c r="C29" s="10"/>
      <c r="D29" s="10"/>
      <c r="E29" s="10"/>
      <c r="F29" s="10"/>
      <c r="G29" s="10"/>
      <c r="H29" s="10"/>
      <c r="I29" s="10"/>
      <c r="J29" s="10"/>
      <c r="K29" s="10"/>
      <c r="L29" s="10"/>
      <c r="M29" s="10"/>
      <c r="N29" s="10"/>
      <c r="O29" s="10"/>
      <c r="P29" s="10"/>
      <c r="Q29" s="10"/>
      <c r="R29" s="10"/>
      <c r="S29" s="10"/>
      <c r="T29" s="10"/>
      <c r="U29" s="10"/>
      <c r="V29" s="10"/>
      <c r="W29" s="10"/>
      <c r="X29" s="10"/>
    </row>
    <row r="30" spans="1:24" x14ac:dyDescent="0.2">
      <c r="A30" s="10"/>
      <c r="B30" s="10"/>
      <c r="C30" s="10"/>
      <c r="D30" s="10"/>
      <c r="E30" s="10"/>
      <c r="F30" s="10"/>
      <c r="G30" s="10"/>
      <c r="H30" s="10"/>
      <c r="I30" s="10"/>
      <c r="J30" s="10"/>
      <c r="K30" s="10"/>
      <c r="L30" s="10"/>
      <c r="M30" s="10"/>
      <c r="N30" s="10"/>
      <c r="O30" s="10"/>
      <c r="P30" s="10"/>
      <c r="Q30" s="10"/>
      <c r="R30" s="10"/>
      <c r="S30" s="10"/>
      <c r="T30" s="10"/>
      <c r="U30" s="10"/>
      <c r="V30" s="10"/>
      <c r="W30" s="10"/>
      <c r="X30" s="10"/>
    </row>
    <row r="31" spans="1:24" x14ac:dyDescent="0.2">
      <c r="A31" s="10"/>
      <c r="B31" s="10"/>
      <c r="C31" s="10"/>
      <c r="D31" s="10"/>
      <c r="E31" s="10"/>
      <c r="F31" s="10"/>
      <c r="G31" s="10"/>
      <c r="H31" s="10"/>
      <c r="I31" s="10"/>
      <c r="J31" s="10"/>
      <c r="K31" s="10"/>
      <c r="L31" s="10"/>
      <c r="M31" s="10"/>
      <c r="N31" s="10"/>
      <c r="O31" s="10"/>
      <c r="P31" s="10"/>
      <c r="Q31" s="10"/>
      <c r="R31" s="10"/>
      <c r="S31" s="10"/>
      <c r="T31" s="10"/>
      <c r="U31" s="10"/>
      <c r="V31" s="10"/>
      <c r="W31" s="10"/>
      <c r="X31" s="10"/>
    </row>
    <row r="32" spans="1:24" x14ac:dyDescent="0.2">
      <c r="A32" s="10"/>
      <c r="B32" s="10"/>
      <c r="C32" s="10"/>
      <c r="D32" s="10"/>
      <c r="E32" s="10"/>
      <c r="F32" s="10"/>
      <c r="G32" s="10"/>
      <c r="H32" s="10"/>
      <c r="I32" s="10"/>
      <c r="J32" s="10"/>
      <c r="K32" s="10"/>
      <c r="L32" s="10"/>
      <c r="M32" s="10"/>
      <c r="N32" s="10"/>
      <c r="O32" s="10"/>
      <c r="P32" s="10"/>
      <c r="Q32" s="10"/>
      <c r="R32" s="10"/>
      <c r="S32" s="10"/>
      <c r="T32" s="10"/>
      <c r="U32" s="10"/>
      <c r="V32" s="10"/>
      <c r="W32" s="10"/>
      <c r="X32" s="10"/>
    </row>
    <row r="33" spans="1:24" x14ac:dyDescent="0.2">
      <c r="A33" s="10"/>
      <c r="B33" s="10"/>
      <c r="C33" s="10"/>
      <c r="D33" s="10"/>
      <c r="E33" s="10"/>
      <c r="F33" s="10"/>
      <c r="G33" s="10"/>
      <c r="H33" s="10"/>
      <c r="I33" s="10"/>
      <c r="J33" s="10"/>
      <c r="K33" s="10"/>
      <c r="L33" s="10"/>
      <c r="M33" s="10"/>
      <c r="N33" s="10"/>
      <c r="O33" s="10"/>
      <c r="P33" s="10"/>
      <c r="Q33" s="10"/>
      <c r="R33" s="10"/>
      <c r="S33" s="10"/>
      <c r="T33" s="10"/>
      <c r="U33" s="10"/>
      <c r="V33" s="10"/>
      <c r="W33" s="10"/>
      <c r="X33" s="10"/>
    </row>
    <row r="34" spans="1:24" x14ac:dyDescent="0.2">
      <c r="A34" s="10"/>
      <c r="B34" s="10"/>
      <c r="C34" s="10"/>
      <c r="D34" s="10"/>
      <c r="E34" s="10"/>
      <c r="F34" s="10"/>
      <c r="G34" s="10"/>
      <c r="H34" s="10"/>
      <c r="I34" s="10"/>
      <c r="J34" s="10"/>
      <c r="K34" s="10"/>
      <c r="L34" s="10"/>
      <c r="M34" s="10"/>
      <c r="N34" s="10"/>
      <c r="O34" s="10"/>
      <c r="P34" s="10"/>
      <c r="Q34" s="10"/>
      <c r="R34" s="10"/>
      <c r="S34" s="10"/>
      <c r="T34" s="10"/>
      <c r="U34" s="10"/>
      <c r="V34" s="10"/>
      <c r="W34" s="10"/>
      <c r="X34" s="10"/>
    </row>
    <row r="35" spans="1:24" x14ac:dyDescent="0.2">
      <c r="A35" s="10"/>
      <c r="B35" s="10"/>
      <c r="C35" s="10"/>
      <c r="D35" s="10"/>
      <c r="E35" s="10"/>
      <c r="F35" s="10"/>
      <c r="G35" s="10"/>
      <c r="H35" s="10"/>
      <c r="I35" s="10"/>
      <c r="J35" s="10"/>
      <c r="K35" s="10"/>
      <c r="L35" s="10"/>
      <c r="M35" s="10"/>
      <c r="N35" s="10"/>
      <c r="O35" s="10"/>
      <c r="P35" s="10"/>
      <c r="Q35" s="10"/>
      <c r="R35" s="10"/>
      <c r="S35" s="10"/>
      <c r="T35" s="10"/>
      <c r="U35" s="10"/>
      <c r="V35" s="10"/>
      <c r="W35" s="10"/>
      <c r="X35" s="10"/>
    </row>
    <row r="36" spans="1:24" x14ac:dyDescent="0.2">
      <c r="A36" s="10"/>
      <c r="B36" s="10"/>
      <c r="C36" s="10"/>
      <c r="D36" s="10"/>
      <c r="E36" s="10"/>
      <c r="F36" s="10"/>
      <c r="G36" s="10"/>
      <c r="H36" s="10"/>
      <c r="I36" s="10"/>
      <c r="J36" s="10"/>
      <c r="K36" s="10"/>
      <c r="L36" s="10"/>
      <c r="M36" s="10"/>
      <c r="N36" s="10"/>
      <c r="O36" s="10"/>
      <c r="P36" s="10"/>
      <c r="Q36" s="10"/>
      <c r="R36" s="10"/>
      <c r="S36" s="10"/>
      <c r="T36" s="10"/>
      <c r="U36" s="10"/>
      <c r="V36" s="10"/>
      <c r="W36" s="10"/>
      <c r="X36" s="10"/>
    </row>
    <row r="37" spans="1:24" x14ac:dyDescent="0.2">
      <c r="A37" s="10"/>
      <c r="B37" s="10"/>
      <c r="C37" s="10"/>
      <c r="D37" s="10"/>
      <c r="E37" s="10"/>
      <c r="F37" s="10"/>
      <c r="G37" s="10"/>
      <c r="H37" s="10"/>
      <c r="I37" s="10"/>
      <c r="J37" s="10"/>
      <c r="K37" s="10"/>
      <c r="L37" s="10"/>
      <c r="M37" s="10"/>
      <c r="N37" s="10"/>
      <c r="O37" s="10"/>
      <c r="P37" s="10"/>
      <c r="Q37" s="10"/>
      <c r="R37" s="10"/>
      <c r="S37" s="10"/>
      <c r="T37" s="10"/>
      <c r="U37" s="10"/>
      <c r="V37" s="10"/>
      <c r="W37" s="10"/>
      <c r="X37" s="10"/>
    </row>
    <row r="38" spans="1:24" x14ac:dyDescent="0.2">
      <c r="A38" s="10"/>
      <c r="B38" s="10"/>
      <c r="C38" s="10"/>
      <c r="D38" s="10"/>
      <c r="E38" s="10"/>
      <c r="F38" s="10"/>
      <c r="G38" s="10"/>
      <c r="H38" s="10"/>
      <c r="I38" s="10"/>
      <c r="J38" s="10"/>
      <c r="K38" s="10"/>
      <c r="L38" s="10"/>
      <c r="M38" s="10"/>
      <c r="N38" s="10"/>
      <c r="O38" s="10"/>
      <c r="P38" s="10"/>
      <c r="Q38" s="10"/>
      <c r="R38" s="10"/>
      <c r="S38" s="10"/>
      <c r="T38" s="10"/>
      <c r="U38" s="10"/>
      <c r="V38" s="10"/>
      <c r="W38" s="10"/>
      <c r="X38" s="10"/>
    </row>
    <row r="39" spans="1:24" x14ac:dyDescent="0.2">
      <c r="A39" s="10"/>
      <c r="B39" s="10"/>
      <c r="C39" s="10"/>
      <c r="D39" s="10"/>
      <c r="E39" s="10"/>
      <c r="F39" s="10"/>
      <c r="G39" s="10"/>
      <c r="H39" s="10"/>
      <c r="I39" s="10"/>
      <c r="J39" s="10"/>
      <c r="K39" s="10"/>
      <c r="L39" s="10"/>
      <c r="M39" s="10"/>
      <c r="N39" s="10"/>
      <c r="O39" s="10"/>
      <c r="P39" s="10"/>
      <c r="Q39" s="10"/>
      <c r="R39" s="10"/>
      <c r="S39" s="10"/>
      <c r="T39" s="10"/>
      <c r="U39" s="10"/>
      <c r="V39" s="10"/>
      <c r="W39" s="10"/>
      <c r="X39" s="10"/>
    </row>
    <row r="40" spans="1:24" x14ac:dyDescent="0.2">
      <c r="A40" s="10"/>
      <c r="B40" s="10"/>
      <c r="C40" s="10"/>
      <c r="D40" s="10"/>
      <c r="E40" s="10"/>
      <c r="F40" s="10"/>
      <c r="G40" s="10"/>
      <c r="H40" s="10"/>
      <c r="I40" s="10"/>
      <c r="J40" s="10"/>
      <c r="K40" s="10"/>
      <c r="L40" s="10"/>
      <c r="M40" s="10"/>
      <c r="N40" s="10"/>
      <c r="O40" s="10"/>
      <c r="P40" s="10"/>
      <c r="Q40" s="10"/>
      <c r="R40" s="10"/>
      <c r="S40" s="10"/>
      <c r="T40" s="10"/>
      <c r="U40" s="10"/>
      <c r="V40" s="10"/>
      <c r="W40" s="10"/>
      <c r="X40" s="10"/>
    </row>
    <row r="41" spans="1:24" x14ac:dyDescent="0.2">
      <c r="A41" s="10"/>
      <c r="B41" s="10"/>
      <c r="C41" s="10"/>
      <c r="D41" s="10"/>
      <c r="E41" s="10"/>
      <c r="F41" s="10"/>
      <c r="G41" s="10"/>
      <c r="H41" s="10"/>
      <c r="I41" s="10"/>
      <c r="J41" s="10"/>
      <c r="K41" s="10"/>
      <c r="L41" s="10"/>
      <c r="M41" s="10"/>
      <c r="N41" s="10"/>
      <c r="O41" s="10"/>
      <c r="P41" s="10"/>
      <c r="Q41" s="10"/>
      <c r="R41" s="10"/>
      <c r="S41" s="10"/>
      <c r="T41" s="10"/>
      <c r="U41" s="10"/>
      <c r="V41" s="10"/>
      <c r="W41" s="10"/>
      <c r="X41" s="10"/>
    </row>
    <row r="42" spans="1:24" x14ac:dyDescent="0.2">
      <c r="A42" s="10"/>
      <c r="B42" s="10"/>
      <c r="C42" s="10"/>
      <c r="D42" s="10"/>
      <c r="E42" s="10"/>
      <c r="F42" s="10"/>
      <c r="G42" s="10"/>
      <c r="H42" s="10"/>
      <c r="I42" s="10"/>
      <c r="J42" s="10"/>
      <c r="K42" s="10"/>
      <c r="L42" s="10"/>
      <c r="M42" s="10"/>
      <c r="N42" s="10"/>
      <c r="O42" s="10"/>
      <c r="P42" s="10"/>
      <c r="Q42" s="10"/>
      <c r="R42" s="10"/>
      <c r="S42" s="10"/>
      <c r="T42" s="10"/>
      <c r="U42" s="10"/>
      <c r="V42" s="10"/>
      <c r="W42" s="10"/>
      <c r="X42" s="10"/>
    </row>
    <row r="43" spans="1:24" x14ac:dyDescent="0.2">
      <c r="A43" s="10"/>
      <c r="B43" s="10"/>
      <c r="C43" s="10"/>
      <c r="D43" s="10"/>
      <c r="E43" s="10"/>
      <c r="F43" s="10"/>
      <c r="G43" s="10"/>
      <c r="H43" s="10"/>
      <c r="I43" s="10"/>
      <c r="J43" s="10"/>
      <c r="K43" s="10"/>
      <c r="L43" s="10"/>
      <c r="M43" s="10"/>
      <c r="N43" s="10"/>
      <c r="O43" s="10"/>
      <c r="P43" s="10"/>
      <c r="Q43" s="10"/>
      <c r="R43" s="10"/>
      <c r="S43" s="10"/>
      <c r="T43" s="10"/>
      <c r="U43" s="10"/>
      <c r="V43" s="10"/>
      <c r="W43" s="10"/>
      <c r="X43" s="10"/>
    </row>
    <row r="44" spans="1:24" x14ac:dyDescent="0.2">
      <c r="A44" s="10"/>
      <c r="B44" s="10"/>
      <c r="C44" s="10"/>
      <c r="D44" s="10"/>
      <c r="E44" s="10"/>
      <c r="F44" s="10"/>
      <c r="G44" s="10"/>
      <c r="H44" s="10"/>
      <c r="I44" s="10"/>
      <c r="J44" s="10"/>
      <c r="K44" s="10"/>
      <c r="L44" s="10"/>
      <c r="M44" s="10"/>
      <c r="N44" s="10"/>
      <c r="O44" s="10"/>
      <c r="P44" s="10"/>
      <c r="Q44" s="10"/>
      <c r="R44" s="10"/>
      <c r="S44" s="10"/>
      <c r="T44" s="10"/>
      <c r="U44" s="10"/>
      <c r="V44" s="10"/>
      <c r="W44" s="10"/>
      <c r="X44" s="10"/>
    </row>
    <row r="45" spans="1:24" x14ac:dyDescent="0.2">
      <c r="A45" s="10"/>
      <c r="B45" s="10"/>
      <c r="C45" s="10"/>
      <c r="D45" s="10"/>
      <c r="E45" s="10"/>
      <c r="F45" s="10"/>
      <c r="G45" s="10"/>
      <c r="H45" s="10"/>
      <c r="I45" s="10"/>
      <c r="J45" s="10"/>
      <c r="K45" s="10"/>
      <c r="L45" s="10"/>
      <c r="M45" s="10"/>
      <c r="N45" s="10"/>
      <c r="O45" s="10"/>
      <c r="P45" s="10"/>
      <c r="Q45" s="10"/>
      <c r="R45" s="10"/>
      <c r="S45" s="10"/>
      <c r="T45" s="10"/>
      <c r="U45" s="10"/>
      <c r="V45" s="10"/>
      <c r="W45" s="10"/>
      <c r="X45" s="10"/>
    </row>
    <row r="46" spans="1:24" x14ac:dyDescent="0.2">
      <c r="A46" s="10"/>
      <c r="B46" s="10"/>
      <c r="C46" s="10"/>
      <c r="D46" s="10"/>
      <c r="E46" s="10"/>
      <c r="F46" s="10"/>
      <c r="G46" s="10"/>
      <c r="H46" s="10"/>
      <c r="I46" s="10"/>
      <c r="J46" s="10"/>
      <c r="K46" s="10"/>
      <c r="L46" s="10"/>
      <c r="M46" s="10"/>
      <c r="N46" s="10"/>
      <c r="O46" s="10"/>
      <c r="P46" s="10"/>
      <c r="Q46" s="10"/>
      <c r="R46" s="10"/>
      <c r="S46" s="10"/>
      <c r="T46" s="10"/>
      <c r="U46" s="10"/>
      <c r="V46" s="10"/>
      <c r="W46" s="10"/>
      <c r="X46" s="10"/>
    </row>
    <row r="47" spans="1:24" x14ac:dyDescent="0.2">
      <c r="A47" s="10"/>
      <c r="B47" s="10"/>
      <c r="C47" s="10"/>
      <c r="D47" s="10"/>
      <c r="E47" s="10"/>
      <c r="F47" s="10"/>
      <c r="G47" s="10"/>
      <c r="H47" s="10"/>
      <c r="I47" s="10"/>
      <c r="J47" s="10"/>
      <c r="K47" s="10"/>
      <c r="L47" s="10"/>
      <c r="M47" s="10"/>
      <c r="N47" s="10"/>
      <c r="O47" s="10"/>
      <c r="P47" s="10"/>
      <c r="Q47" s="10"/>
      <c r="R47" s="10"/>
      <c r="S47" s="10"/>
      <c r="T47" s="10"/>
      <c r="U47" s="10"/>
      <c r="V47" s="10"/>
      <c r="W47" s="10"/>
      <c r="X47" s="10"/>
    </row>
    <row r="48" spans="1:24" x14ac:dyDescent="0.2">
      <c r="A48" s="10"/>
      <c r="B48" s="10"/>
      <c r="C48" s="10"/>
      <c r="D48" s="10"/>
      <c r="E48" s="10"/>
      <c r="F48" s="10"/>
      <c r="G48" s="10"/>
      <c r="H48" s="10"/>
      <c r="I48" s="10"/>
      <c r="J48" s="10"/>
      <c r="K48" s="10"/>
      <c r="L48" s="10"/>
      <c r="M48" s="10"/>
      <c r="N48" s="10"/>
      <c r="O48" s="10"/>
      <c r="P48" s="10"/>
      <c r="Q48" s="10"/>
      <c r="R48" s="10"/>
      <c r="S48" s="10"/>
      <c r="T48" s="10"/>
      <c r="U48" s="10"/>
      <c r="V48" s="10"/>
      <c r="W48" s="10"/>
      <c r="X48" s="10"/>
    </row>
    <row r="49" spans="1:24" x14ac:dyDescent="0.2">
      <c r="A49" s="10"/>
      <c r="B49" s="10"/>
      <c r="C49" s="10"/>
      <c r="D49" s="10"/>
      <c r="E49" s="10"/>
      <c r="F49" s="10"/>
      <c r="G49" s="10"/>
      <c r="H49" s="10"/>
      <c r="I49" s="10"/>
      <c r="J49" s="10"/>
      <c r="K49" s="10"/>
      <c r="L49" s="10"/>
      <c r="M49" s="10"/>
      <c r="N49" s="10"/>
      <c r="O49" s="10"/>
      <c r="P49" s="10"/>
      <c r="Q49" s="10"/>
      <c r="R49" s="10"/>
      <c r="S49" s="10"/>
      <c r="T49" s="10"/>
      <c r="U49" s="10"/>
      <c r="V49" s="10"/>
      <c r="W49" s="10"/>
      <c r="X49" s="10"/>
    </row>
    <row r="50" spans="1:24" x14ac:dyDescent="0.2">
      <c r="A50" s="10"/>
      <c r="B50" s="10"/>
      <c r="C50" s="10"/>
      <c r="D50" s="10"/>
      <c r="E50" s="10"/>
      <c r="F50" s="10"/>
      <c r="G50" s="10"/>
      <c r="H50" s="10"/>
      <c r="I50" s="10"/>
      <c r="J50" s="10"/>
      <c r="K50" s="10"/>
      <c r="L50" s="10"/>
      <c r="M50" s="10"/>
      <c r="N50" s="10"/>
      <c r="O50" s="10"/>
      <c r="P50" s="10"/>
      <c r="Q50" s="10"/>
      <c r="R50" s="10"/>
      <c r="S50" s="10"/>
      <c r="T50" s="10"/>
      <c r="U50" s="10"/>
      <c r="V50" s="10"/>
      <c r="W50" s="10"/>
      <c r="X50" s="10"/>
    </row>
    <row r="51" spans="1:24" x14ac:dyDescent="0.2">
      <c r="A51" s="10"/>
      <c r="B51" s="10"/>
      <c r="C51" s="10"/>
      <c r="D51" s="10"/>
      <c r="E51" s="10"/>
      <c r="F51" s="10"/>
      <c r="G51" s="10"/>
      <c r="H51" s="10"/>
      <c r="I51" s="10"/>
      <c r="J51" s="10"/>
      <c r="K51" s="10"/>
      <c r="L51" s="10"/>
      <c r="M51" s="10"/>
      <c r="N51" s="10"/>
      <c r="O51" s="10"/>
      <c r="P51" s="10"/>
      <c r="Q51" s="10"/>
      <c r="R51" s="10"/>
      <c r="S51" s="10"/>
      <c r="T51" s="10"/>
      <c r="U51" s="10"/>
      <c r="V51" s="10"/>
      <c r="W51" s="10"/>
      <c r="X51" s="10"/>
    </row>
    <row r="52" spans="1:24" x14ac:dyDescent="0.2">
      <c r="A52" s="10"/>
      <c r="B52" s="10"/>
      <c r="C52" s="10"/>
      <c r="D52" s="10"/>
      <c r="E52" s="10"/>
      <c r="F52" s="10"/>
      <c r="G52" s="10"/>
      <c r="H52" s="10"/>
      <c r="I52" s="10"/>
      <c r="J52" s="10"/>
      <c r="K52" s="10"/>
      <c r="L52" s="10"/>
      <c r="M52" s="10"/>
      <c r="N52" s="10"/>
      <c r="O52" s="10"/>
      <c r="P52" s="10"/>
      <c r="Q52" s="10"/>
      <c r="R52" s="10"/>
      <c r="S52" s="10"/>
      <c r="T52" s="10"/>
      <c r="U52" s="10"/>
      <c r="V52" s="10"/>
      <c r="W52" s="10"/>
      <c r="X52" s="10"/>
    </row>
    <row r="53" spans="1:24" x14ac:dyDescent="0.2">
      <c r="A53" s="10"/>
      <c r="B53" s="10"/>
      <c r="C53" s="10"/>
      <c r="D53" s="10"/>
      <c r="E53" s="10"/>
      <c r="F53" s="10"/>
      <c r="G53" s="10"/>
      <c r="H53" s="10"/>
      <c r="I53" s="10"/>
      <c r="J53" s="10"/>
      <c r="K53" s="10"/>
      <c r="L53" s="10"/>
      <c r="M53" s="10"/>
      <c r="N53" s="10"/>
      <c r="O53" s="10"/>
      <c r="P53" s="10"/>
      <c r="Q53" s="10"/>
      <c r="R53" s="10"/>
      <c r="S53" s="10"/>
      <c r="T53" s="10"/>
      <c r="U53" s="10"/>
      <c r="V53" s="10"/>
      <c r="W53" s="10"/>
      <c r="X53" s="10"/>
    </row>
    <row r="54" spans="1:24" x14ac:dyDescent="0.2">
      <c r="A54" s="10"/>
      <c r="B54" s="10"/>
      <c r="C54" s="10"/>
      <c r="D54" s="10"/>
      <c r="E54" s="10"/>
      <c r="F54" s="10"/>
      <c r="G54" s="10"/>
      <c r="H54" s="10"/>
      <c r="I54" s="10"/>
      <c r="J54" s="10"/>
      <c r="K54" s="10"/>
      <c r="L54" s="10"/>
      <c r="M54" s="10"/>
      <c r="N54" s="10"/>
      <c r="O54" s="10"/>
      <c r="P54" s="10"/>
      <c r="Q54" s="10"/>
      <c r="R54" s="10"/>
      <c r="S54" s="10"/>
      <c r="T54" s="10"/>
      <c r="U54" s="10"/>
      <c r="V54" s="10"/>
      <c r="W54" s="10"/>
      <c r="X54"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Shitje Kompjuterike</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2026-02-18T14:15:54Z</dcterms:created>
  <dcterms:modified xsi:type="dcterms:W3CDTF">2026-03-26T23:25:16Z</dcterms:modified>
</cp:coreProperties>
</file>